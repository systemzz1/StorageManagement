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ập Liệu" sheetId="1" r:id="rId5"/>
    <sheet state="visible" name="Kiểm Kho" sheetId="2" r:id="rId6"/>
    <sheet state="visible" name="LichSu" sheetId="3" r:id="rId7"/>
  </sheets>
  <definedNames/>
  <calcPr/>
</workbook>
</file>

<file path=xl/sharedStrings.xml><?xml version="1.0" encoding="utf-8"?>
<sst xmlns="http://schemas.openxmlformats.org/spreadsheetml/2006/main" count="416" uniqueCount="147">
  <si>
    <t>Water</t>
  </si>
  <si>
    <t>Số lượng (Chai/Cái/Kg)</t>
  </si>
  <si>
    <t>Lẻ (ml/g/quả)</t>
  </si>
  <si>
    <t>Tồn Cũ</t>
  </si>
  <si>
    <t>Nhập thêm</t>
  </si>
  <si>
    <t>Xuất</t>
  </si>
  <si>
    <t>Tổng mới</t>
  </si>
  <si>
    <t>Tích vào để chốt kho ngày</t>
  </si>
  <si>
    <t>STT</t>
  </si>
  <si>
    <t>Nhóm</t>
  </si>
  <si>
    <t>Tên mặt hàng</t>
  </si>
  <si>
    <t>Đơn vị tính</t>
  </si>
  <si>
    <t>Ghi chú</t>
  </si>
  <si>
    <t>I</t>
  </si>
  <si>
    <t>ĐỒ UỐNG ĐÓNG CHAI</t>
  </si>
  <si>
    <t>Nước ngọt</t>
  </si>
  <si>
    <t>Coke</t>
  </si>
  <si>
    <t>Lon/Chai</t>
  </si>
  <si>
    <t>Coke Zero</t>
  </si>
  <si>
    <t>Sprite</t>
  </si>
  <si>
    <t>Soda</t>
  </si>
  <si>
    <t>Nước lọc</t>
  </si>
  <si>
    <t>Chai</t>
  </si>
  <si>
    <t>Mixer</t>
  </si>
  <si>
    <t>Tonic</t>
  </si>
  <si>
    <t>Bia</t>
  </si>
  <si>
    <t>Ale</t>
  </si>
  <si>
    <t>Trúc Bạch</t>
  </si>
  <si>
    <t>Sài Gòn</t>
  </si>
  <si>
    <t>Chai/Lon</t>
  </si>
  <si>
    <t>Autumn</t>
  </si>
  <si>
    <t>Double IPA</t>
  </si>
  <si>
    <t>Khác</t>
  </si>
  <si>
    <t>36 Opera</t>
  </si>
  <si>
    <t>36 Drum</t>
  </si>
  <si>
    <t>II</t>
  </si>
  <si>
    <t>RƯỢU VANG &amp; RƯỢU MẠNH</t>
  </si>
  <si>
    <t>Vang</t>
  </si>
  <si>
    <t>Claude Val Trắng</t>
  </si>
  <si>
    <t>Claude Val Đỏ</t>
  </si>
  <si>
    <t>Paolini Pinot Trắng</t>
  </si>
  <si>
    <t>Paolini Đỏ</t>
  </si>
  <si>
    <t>Vinas Trắng</t>
  </si>
  <si>
    <t>Vinas Đỏ</t>
  </si>
  <si>
    <t>Spirits</t>
  </si>
  <si>
    <t>Jack Daniels</t>
  </si>
  <si>
    <t>Aperol</t>
  </si>
  <si>
    <t>ml</t>
  </si>
  <si>
    <t>Jim Beam</t>
  </si>
  <si>
    <t>Grenadine</t>
  </si>
  <si>
    <t>Malibu</t>
  </si>
  <si>
    <t>Captian Morgan Dark</t>
  </si>
  <si>
    <t>Barcardi</t>
  </si>
  <si>
    <t>Bailey</t>
  </si>
  <si>
    <t>Tanqueray</t>
  </si>
  <si>
    <t>Lady Triệu Mekong</t>
  </si>
  <si>
    <t>Lady Triệu Flower</t>
  </si>
  <si>
    <t>Sông Cái</t>
  </si>
  <si>
    <t>Dewars</t>
  </si>
  <si>
    <t>Chivas Regal</t>
  </si>
  <si>
    <t>Macallan 12</t>
  </si>
  <si>
    <t>Maker Mark</t>
  </si>
  <si>
    <t>Wild Turkey</t>
  </si>
  <si>
    <t>Gorden</t>
  </si>
  <si>
    <t>Bombay Sapphire</t>
  </si>
  <si>
    <t>Johnnie Walker</t>
  </si>
  <si>
    <t>III</t>
  </si>
  <si>
    <t>CÀ PHÊ &amp; TRÀ</t>
  </si>
  <si>
    <t>Hạt</t>
  </si>
  <si>
    <t>Robusta</t>
  </si>
  <si>
    <t>g</t>
  </si>
  <si>
    <t>(3.38 kg)</t>
  </si>
  <si>
    <t>Arabica</t>
  </si>
  <si>
    <t>(4.4 kg)</t>
  </si>
  <si>
    <t>Phin</t>
  </si>
  <si>
    <t>Phin Đen</t>
  </si>
  <si>
    <t>Cái</t>
  </si>
  <si>
    <t>Phin Đỏ</t>
  </si>
  <si>
    <t>Phin Xám</t>
  </si>
  <si>
    <t>Phin Vàng</t>
  </si>
  <si>
    <t>Phin Tím</t>
  </si>
  <si>
    <t>Phin Xanh</t>
  </si>
  <si>
    <t>Trà</t>
  </si>
  <si>
    <t>Trà Olong</t>
  </si>
  <si>
    <t>Trà Đen</t>
  </si>
  <si>
    <t>Matcha</t>
  </si>
  <si>
    <t>kg</t>
  </si>
  <si>
    <t>IV</t>
  </si>
  <si>
    <t>NGUYÊN LIỆU PHÀ CHẾ</t>
  </si>
  <si>
    <t>Bột</t>
  </si>
  <si>
    <t>Bột Cacao</t>
  </si>
  <si>
    <t>Đường</t>
  </si>
  <si>
    <t>Đường Đỏ</t>
  </si>
  <si>
    <t>Đường Trắng</t>
  </si>
  <si>
    <t>Lỏng</t>
  </si>
  <si>
    <t>Rum</t>
  </si>
  <si>
    <t>Đơn vị</t>
  </si>
  <si>
    <t>Caramel</t>
  </si>
  <si>
    <t>Cốt Dừa</t>
  </si>
  <si>
    <t>Mật Ong</t>
  </si>
  <si>
    <t>Monin Dừa</t>
  </si>
  <si>
    <t>Sốt Choco</t>
  </si>
  <si>
    <t>Sữa</t>
  </si>
  <si>
    <t>Sữa Đặc</t>
  </si>
  <si>
    <t>Hộp</t>
  </si>
  <si>
    <t>Sữa Tươi</t>
  </si>
  <si>
    <t>Sữa Oat</t>
  </si>
  <si>
    <t>Trứng</t>
  </si>
  <si>
    <t>Trứng Gà</t>
  </si>
  <si>
    <t>Quả</t>
  </si>
  <si>
    <t>V</t>
  </si>
  <si>
    <t>BÁNH &amp; ĐỒ ĂN NHẸ</t>
  </si>
  <si>
    <t>Bánh</t>
  </si>
  <si>
    <t>Bánh Chuối</t>
  </si>
  <si>
    <t>Cheese Cake</t>
  </si>
  <si>
    <t>Carrot Cake</t>
  </si>
  <si>
    <t>Ăn nhẹ</t>
  </si>
  <si>
    <t>Cookies</t>
  </si>
  <si>
    <t>Kẹo Lạc</t>
  </si>
  <si>
    <t>Kẹo Dồi</t>
  </si>
  <si>
    <t>VI</t>
  </si>
  <si>
    <t>TRÁI CÂY TƯƠI</t>
  </si>
  <si>
    <t>Trái cây</t>
  </si>
  <si>
    <t>Xoài</t>
  </si>
  <si>
    <t>Dứa</t>
  </si>
  <si>
    <t>Dâu Tây</t>
  </si>
  <si>
    <t>Cam</t>
  </si>
  <si>
    <t>Chanh Leo</t>
  </si>
  <si>
    <t>Chanh Xanh</t>
  </si>
  <si>
    <t>Chanh Vàng</t>
  </si>
  <si>
    <t>Chuối</t>
  </si>
  <si>
    <t>Dưa Hấu</t>
  </si>
  <si>
    <t>Bơ (Avo)</t>
  </si>
  <si>
    <t>Ngày</t>
  </si>
  <si>
    <t>nhập thêm</t>
  </si>
  <si>
    <t>xuất</t>
  </si>
  <si>
    <t>tồn kho</t>
  </si>
  <si>
    <t>2 + 390</t>
  </si>
  <si>
    <t>3 + 240</t>
  </si>
  <si>
    <t>1 + 620</t>
  </si>
  <si>
    <t>1 + 680</t>
  </si>
  <si>
    <t>1 + 460</t>
  </si>
  <si>
    <t>3 + 350</t>
  </si>
  <si>
    <t>1 + 320</t>
  </si>
  <si>
    <t>1 + 640</t>
  </si>
  <si>
    <t>1 + 630</t>
  </si>
  <si>
    <t>2 + 100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</si>
</sst>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"/>
  </numFmts>
  <fonts count="5">
    <font>
      <sz val="10.0"/>
      <color rgb="FF000000"/>
      <name val="Arial"/>
      <scheme val="minor"/>
    </font>
    <font>
      <sz val="18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</fills>
  <borders count="2">
    <border/>
    <border>
      <top style="medium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2" fontId="3" numFmtId="0" xfId="0" applyAlignment="1" applyFill="1" applyFont="1">
      <alignment horizontal="center" readingOrder="0"/>
    </xf>
    <xf borderId="0" fillId="2" fontId="3" numFmtId="0" xfId="0" applyAlignment="1" applyFont="1">
      <alignment horizontal="center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ont="1">
      <alignment horizontal="center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4" fontId="4" numFmtId="165" xfId="0" applyAlignment="1" applyFont="1" applyNumberFormat="1">
      <alignment horizontal="center" readingOrder="0"/>
    </xf>
    <xf borderId="0" fillId="4" fontId="4" numFmtId="0" xfId="0" applyAlignment="1" applyFont="1">
      <alignment horizontal="center"/>
    </xf>
    <xf borderId="0" fillId="4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3" fontId="3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Kiểm Kh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86" displayName="Table1" name="Table1" id="1">
  <tableColumns count="7">
    <tableColumn name="STT" id="1"/>
    <tableColumn name="Nhóm" id="2"/>
    <tableColumn name="Tên mặt hàng" id="3"/>
    <tableColumn name="Đơn vị tính" id="4"/>
    <tableColumn name="Số lượng (Chai/Cái/Kg)" id="5"/>
    <tableColumn name="Lẻ (ml/g/quả)" id="6"/>
    <tableColumn name="Ghi chú" id="7"/>
  </tableColumns>
  <tableStyleInfo name="Kiểm Kh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0.38"/>
    <col customWidth="1" min="2" max="2" width="43.0"/>
    <col customWidth="1" min="3" max="3" width="32.5"/>
    <col customWidth="1" min="4" max="4" width="30.13"/>
    <col customWidth="1" min="5" max="5" width="37.7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2.75" customHeight="1">
      <c r="A2" s="1"/>
      <c r="B2" s="3" t="s">
        <v>0</v>
      </c>
      <c r="C2" s="4" t="s">
        <v>1</v>
      </c>
      <c r="D2" s="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3</v>
      </c>
      <c r="C3" s="6">
        <f>VLOOKUP(B2, 'Kiểm Kho'!C:E, 3, FALSE)</f>
        <v>23</v>
      </c>
      <c r="D3" s="6" t="str">
        <f>VLOOKUP(B2, 'Kiểm Kho'!C:F, 4, FALSE)</f>
        <v/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4</v>
      </c>
      <c r="C4" s="5"/>
      <c r="D4" s="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 t="s">
        <v>5</v>
      </c>
      <c r="C5" s="5"/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 t="s">
        <v>6</v>
      </c>
      <c r="C6" s="5"/>
      <c r="D6" s="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 t="s">
        <v>7</v>
      </c>
      <c r="C7" s="4" t="b">
        <v>0</v>
      </c>
      <c r="D7" s="1"/>
      <c r="E7" s="1"/>
      <c r="F7" s="1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/>
      <c r="C11" s="1"/>
      <c r="D11" s="1"/>
      <c r="E11" s="1"/>
      <c r="F11" s="1"/>
      <c r="G11" s="1"/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>
    <dataValidation type="list" allowBlank="1" showErrorMessage="1" sqref="B2">
      <formula1>'Kiểm Kho'!$C$2:$C$100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13"/>
    <col customWidth="1" min="3" max="3" width="16.25"/>
    <col customWidth="1" min="4" max="4" width="16.63"/>
    <col customWidth="1" min="5" max="5" width="23.13"/>
    <col customWidth="1" min="6" max="6" width="19.0"/>
  </cols>
  <sheetData>
    <row r="1" ht="22.5" customHeight="1">
      <c r="A1" s="7" t="s">
        <v>8</v>
      </c>
      <c r="B1" s="7" t="s">
        <v>9</v>
      </c>
      <c r="C1" s="7" t="s">
        <v>10</v>
      </c>
      <c r="D1" s="7" t="s">
        <v>11</v>
      </c>
      <c r="E1" s="7" t="s">
        <v>1</v>
      </c>
      <c r="F1" s="7" t="s">
        <v>2</v>
      </c>
      <c r="G1" s="7" t="s">
        <v>12</v>
      </c>
    </row>
    <row r="2" ht="22.5" customHeight="1">
      <c r="A2" s="8" t="s">
        <v>13</v>
      </c>
      <c r="B2" s="9" t="s">
        <v>14</v>
      </c>
      <c r="C2" s="10"/>
      <c r="D2" s="11"/>
      <c r="E2" s="12"/>
      <c r="F2" s="12"/>
      <c r="G2" s="10"/>
    </row>
    <row r="3" ht="22.5" customHeight="1">
      <c r="A3" s="13">
        <v>1.0</v>
      </c>
      <c r="B3" s="8" t="s">
        <v>15</v>
      </c>
      <c r="C3" s="8" t="s">
        <v>16</v>
      </c>
      <c r="D3" s="14" t="s">
        <v>17</v>
      </c>
      <c r="E3" s="13">
        <v>52.0</v>
      </c>
      <c r="F3" s="12"/>
      <c r="G3" s="10"/>
    </row>
    <row r="4" ht="22.5" customHeight="1">
      <c r="A4" s="13">
        <v>2.0</v>
      </c>
      <c r="B4" s="8" t="s">
        <v>15</v>
      </c>
      <c r="C4" s="8" t="s">
        <v>18</v>
      </c>
      <c r="D4" s="14" t="s">
        <v>17</v>
      </c>
      <c r="E4" s="13">
        <v>17.0</v>
      </c>
      <c r="F4" s="12"/>
      <c r="G4" s="10"/>
    </row>
    <row r="5" ht="22.5" customHeight="1">
      <c r="A5" s="13">
        <v>3.0</v>
      </c>
      <c r="B5" s="8" t="s">
        <v>15</v>
      </c>
      <c r="C5" s="8" t="s">
        <v>19</v>
      </c>
      <c r="D5" s="14" t="s">
        <v>17</v>
      </c>
      <c r="E5" s="13">
        <v>29.0</v>
      </c>
      <c r="F5" s="12"/>
      <c r="G5" s="10"/>
    </row>
    <row r="6" ht="22.5" customHeight="1">
      <c r="A6" s="13">
        <v>4.0</v>
      </c>
      <c r="B6" s="8" t="s">
        <v>15</v>
      </c>
      <c r="C6" s="8" t="s">
        <v>20</v>
      </c>
      <c r="D6" s="14" t="s">
        <v>17</v>
      </c>
      <c r="E6" s="13">
        <v>53.0</v>
      </c>
      <c r="F6" s="12"/>
      <c r="G6" s="10"/>
    </row>
    <row r="7" ht="22.5" customHeight="1">
      <c r="A7" s="13">
        <v>5.0</v>
      </c>
      <c r="B7" s="8" t="s">
        <v>21</v>
      </c>
      <c r="C7" s="8" t="s">
        <v>0</v>
      </c>
      <c r="D7" s="14" t="s">
        <v>22</v>
      </c>
      <c r="E7" s="13">
        <v>23.0</v>
      </c>
      <c r="F7" s="12"/>
      <c r="G7" s="10"/>
    </row>
    <row r="8" ht="22.5" customHeight="1">
      <c r="A8" s="13">
        <v>6.0</v>
      </c>
      <c r="B8" s="8" t="s">
        <v>23</v>
      </c>
      <c r="C8" s="8" t="s">
        <v>24</v>
      </c>
      <c r="D8" s="14" t="s">
        <v>17</v>
      </c>
      <c r="E8" s="13">
        <v>27.0</v>
      </c>
      <c r="F8" s="12"/>
      <c r="G8" s="10"/>
    </row>
    <row r="9" ht="22.5" customHeight="1">
      <c r="A9" s="13">
        <v>7.0</v>
      </c>
      <c r="B9" s="8" t="s">
        <v>25</v>
      </c>
      <c r="C9" s="8" t="s">
        <v>26</v>
      </c>
      <c r="D9" s="14" t="s">
        <v>17</v>
      </c>
      <c r="E9" s="13">
        <v>24.0</v>
      </c>
      <c r="F9" s="12"/>
      <c r="G9" s="10"/>
    </row>
    <row r="10" ht="22.5" customHeight="1">
      <c r="A10" s="13">
        <v>8.0</v>
      </c>
      <c r="B10" s="8" t="s">
        <v>25</v>
      </c>
      <c r="C10" s="8" t="s">
        <v>27</v>
      </c>
      <c r="D10" s="14" t="s">
        <v>22</v>
      </c>
      <c r="E10" s="13">
        <v>38.0</v>
      </c>
      <c r="F10" s="12"/>
      <c r="G10" s="10"/>
    </row>
    <row r="11" ht="22.5" customHeight="1">
      <c r="A11" s="13">
        <v>9.0</v>
      </c>
      <c r="B11" s="8" t="s">
        <v>25</v>
      </c>
      <c r="C11" s="8" t="s">
        <v>28</v>
      </c>
      <c r="D11" s="14" t="s">
        <v>29</v>
      </c>
      <c r="E11" s="13">
        <v>52.0</v>
      </c>
      <c r="F11" s="12"/>
      <c r="G11" s="10"/>
    </row>
    <row r="12" ht="22.5" customHeight="1">
      <c r="A12" s="13">
        <v>10.0</v>
      </c>
      <c r="B12" s="8" t="s">
        <v>25</v>
      </c>
      <c r="C12" s="8" t="s">
        <v>30</v>
      </c>
      <c r="D12" s="14" t="s">
        <v>29</v>
      </c>
      <c r="E12" s="13">
        <v>38.0</v>
      </c>
      <c r="F12" s="12"/>
      <c r="G12" s="10"/>
    </row>
    <row r="13" ht="22.5" customHeight="1">
      <c r="A13" s="13">
        <v>11.0</v>
      </c>
      <c r="B13" s="8" t="s">
        <v>25</v>
      </c>
      <c r="C13" s="8" t="s">
        <v>31</v>
      </c>
      <c r="D13" s="14" t="s">
        <v>29</v>
      </c>
      <c r="E13" s="13">
        <v>34.0</v>
      </c>
      <c r="F13" s="12"/>
      <c r="G13" s="10"/>
    </row>
    <row r="14" ht="22.5" customHeight="1">
      <c r="A14" s="13">
        <v>12.0</v>
      </c>
      <c r="B14" s="8" t="s">
        <v>32</v>
      </c>
      <c r="C14" s="8" t="s">
        <v>33</v>
      </c>
      <c r="D14" s="14" t="s">
        <v>22</v>
      </c>
      <c r="E14" s="13">
        <v>30.0</v>
      </c>
      <c r="F14" s="12"/>
      <c r="G14" s="10"/>
    </row>
    <row r="15" ht="22.5" customHeight="1">
      <c r="A15" s="13">
        <v>13.0</v>
      </c>
      <c r="B15" s="8" t="s">
        <v>32</v>
      </c>
      <c r="C15" s="8" t="s">
        <v>34</v>
      </c>
      <c r="D15" s="14" t="s">
        <v>22</v>
      </c>
      <c r="E15" s="13">
        <v>36.0</v>
      </c>
      <c r="F15" s="12"/>
      <c r="G15" s="10"/>
    </row>
    <row r="16" ht="22.5" customHeight="1">
      <c r="A16" s="8" t="s">
        <v>35</v>
      </c>
      <c r="B16" s="9" t="s">
        <v>36</v>
      </c>
      <c r="C16" s="10"/>
      <c r="D16" s="11"/>
      <c r="E16" s="12"/>
      <c r="F16" s="12"/>
      <c r="G16" s="10"/>
    </row>
    <row r="17" ht="22.5" customHeight="1">
      <c r="A17" s="13">
        <v>14.0</v>
      </c>
      <c r="B17" s="8" t="s">
        <v>37</v>
      </c>
      <c r="C17" s="8" t="s">
        <v>38</v>
      </c>
      <c r="D17" s="14" t="s">
        <v>22</v>
      </c>
      <c r="E17" s="13">
        <v>2.0</v>
      </c>
      <c r="F17" s="13">
        <v>390.0</v>
      </c>
      <c r="G17" s="10"/>
    </row>
    <row r="18" ht="22.5" customHeight="1">
      <c r="A18" s="13">
        <v>15.0</v>
      </c>
      <c r="B18" s="8" t="s">
        <v>37</v>
      </c>
      <c r="C18" s="8" t="s">
        <v>39</v>
      </c>
      <c r="D18" s="14" t="s">
        <v>22</v>
      </c>
      <c r="E18" s="13">
        <v>0.0</v>
      </c>
      <c r="F18" s="12"/>
      <c r="G18" s="10"/>
    </row>
    <row r="19" ht="22.5" customHeight="1">
      <c r="A19" s="13">
        <v>16.0</v>
      </c>
      <c r="B19" s="8" t="s">
        <v>37</v>
      </c>
      <c r="C19" s="8" t="s">
        <v>40</v>
      </c>
      <c r="D19" s="14" t="s">
        <v>22</v>
      </c>
      <c r="E19" s="13">
        <v>0.0</v>
      </c>
      <c r="F19" s="12"/>
      <c r="G19" s="10"/>
    </row>
    <row r="20" ht="22.5" customHeight="1">
      <c r="A20" s="13">
        <v>17.0</v>
      </c>
      <c r="B20" s="8" t="s">
        <v>37</v>
      </c>
      <c r="C20" s="8" t="s">
        <v>41</v>
      </c>
      <c r="D20" s="14" t="s">
        <v>22</v>
      </c>
      <c r="E20" s="13">
        <v>3.0</v>
      </c>
      <c r="F20" s="13">
        <v>240.0</v>
      </c>
      <c r="G20" s="10"/>
    </row>
    <row r="21" ht="22.5" customHeight="1">
      <c r="A21" s="13">
        <v>18.0</v>
      </c>
      <c r="B21" s="8" t="s">
        <v>37</v>
      </c>
      <c r="C21" s="8" t="s">
        <v>42</v>
      </c>
      <c r="D21" s="14" t="s">
        <v>22</v>
      </c>
      <c r="E21" s="13">
        <v>1.0</v>
      </c>
      <c r="F21" s="13">
        <v>620.0</v>
      </c>
      <c r="G21" s="10"/>
    </row>
    <row r="22" ht="22.5" customHeight="1">
      <c r="A22" s="13">
        <v>19.0</v>
      </c>
      <c r="B22" s="8" t="s">
        <v>37</v>
      </c>
      <c r="C22" s="8" t="s">
        <v>43</v>
      </c>
      <c r="D22" s="14" t="s">
        <v>22</v>
      </c>
      <c r="E22" s="13">
        <v>3.0</v>
      </c>
      <c r="F22" s="12"/>
      <c r="G22" s="10"/>
    </row>
    <row r="23" ht="22.5" customHeight="1">
      <c r="A23" s="13">
        <v>20.0</v>
      </c>
      <c r="B23" s="8" t="s">
        <v>44</v>
      </c>
      <c r="C23" s="8" t="s">
        <v>45</v>
      </c>
      <c r="D23" s="14" t="s">
        <v>22</v>
      </c>
      <c r="E23" s="13">
        <v>1.0</v>
      </c>
      <c r="F23" s="13">
        <v>680.0</v>
      </c>
      <c r="G23" s="10"/>
    </row>
    <row r="24" ht="22.5" customHeight="1">
      <c r="A24" s="13">
        <v>21.0</v>
      </c>
      <c r="B24" s="8" t="s">
        <v>44</v>
      </c>
      <c r="C24" s="8" t="s">
        <v>46</v>
      </c>
      <c r="D24" s="14" t="s">
        <v>47</v>
      </c>
      <c r="E24" s="12"/>
      <c r="F24" s="13">
        <v>620.0</v>
      </c>
      <c r="G24" s="10"/>
    </row>
    <row r="25" ht="22.5" customHeight="1">
      <c r="A25" s="13">
        <v>22.0</v>
      </c>
      <c r="B25" s="8" t="s">
        <v>44</v>
      </c>
      <c r="C25" s="8" t="s">
        <v>48</v>
      </c>
      <c r="D25" s="14" t="s">
        <v>22</v>
      </c>
      <c r="E25" s="13">
        <v>1.0</v>
      </c>
      <c r="F25" s="13">
        <v>460.0</v>
      </c>
      <c r="G25" s="10"/>
    </row>
    <row r="26" ht="22.5" customHeight="1">
      <c r="A26" s="13">
        <v>23.0</v>
      </c>
      <c r="B26" s="8" t="s">
        <v>44</v>
      </c>
      <c r="C26" s="8" t="s">
        <v>49</v>
      </c>
      <c r="D26" s="14" t="s">
        <v>47</v>
      </c>
      <c r="E26" s="12"/>
      <c r="F26" s="13">
        <v>965.0</v>
      </c>
      <c r="G26" s="10"/>
    </row>
    <row r="27" ht="22.5" customHeight="1">
      <c r="A27" s="13">
        <v>24.0</v>
      </c>
      <c r="B27" s="8" t="s">
        <v>44</v>
      </c>
      <c r="C27" s="8" t="s">
        <v>50</v>
      </c>
      <c r="D27" s="14" t="s">
        <v>47</v>
      </c>
      <c r="E27" s="12"/>
      <c r="F27" s="13">
        <v>670.0</v>
      </c>
      <c r="G27" s="10"/>
    </row>
    <row r="28" ht="22.5" customHeight="1">
      <c r="A28" s="13">
        <v>25.0</v>
      </c>
      <c r="B28" s="8" t="s">
        <v>44</v>
      </c>
      <c r="C28" s="8" t="s">
        <v>51</v>
      </c>
      <c r="D28" s="14" t="s">
        <v>47</v>
      </c>
      <c r="E28" s="12"/>
      <c r="F28" s="13">
        <v>370.0</v>
      </c>
      <c r="G28" s="10"/>
    </row>
    <row r="29" ht="22.5" customHeight="1">
      <c r="A29" s="13">
        <v>26.0</v>
      </c>
      <c r="B29" s="8" t="s">
        <v>44</v>
      </c>
      <c r="C29" s="8" t="s">
        <v>52</v>
      </c>
      <c r="D29" s="14" t="s">
        <v>47</v>
      </c>
      <c r="E29" s="12"/>
      <c r="F29" s="13">
        <v>350.0</v>
      </c>
      <c r="G29" s="10"/>
    </row>
    <row r="30" ht="22.5" customHeight="1">
      <c r="A30" s="13">
        <v>27.0</v>
      </c>
      <c r="B30" s="8" t="s">
        <v>44</v>
      </c>
      <c r="C30" s="8" t="s">
        <v>53</v>
      </c>
      <c r="D30" s="14" t="s">
        <v>22</v>
      </c>
      <c r="E30" s="13">
        <v>1.0</v>
      </c>
      <c r="F30" s="13">
        <v>320.0</v>
      </c>
      <c r="G30" s="10"/>
    </row>
    <row r="31" ht="22.5" customHeight="1">
      <c r="A31" s="13">
        <v>28.0</v>
      </c>
      <c r="B31" s="8" t="s">
        <v>44</v>
      </c>
      <c r="C31" s="8" t="s">
        <v>54</v>
      </c>
      <c r="D31" s="14" t="s">
        <v>47</v>
      </c>
      <c r="E31" s="12"/>
      <c r="F31" s="13">
        <v>620.0</v>
      </c>
      <c r="G31" s="10"/>
    </row>
    <row r="32" ht="22.5" customHeight="1">
      <c r="A32" s="13">
        <v>29.0</v>
      </c>
      <c r="B32" s="8" t="s">
        <v>44</v>
      </c>
      <c r="C32" s="8" t="s">
        <v>55</v>
      </c>
      <c r="D32" s="14" t="s">
        <v>47</v>
      </c>
      <c r="E32" s="12"/>
      <c r="F32" s="13">
        <v>210.0</v>
      </c>
      <c r="G32" s="10"/>
    </row>
    <row r="33" ht="22.5" customHeight="1">
      <c r="A33" s="13">
        <v>30.0</v>
      </c>
      <c r="B33" s="8" t="s">
        <v>44</v>
      </c>
      <c r="C33" s="8" t="s">
        <v>56</v>
      </c>
      <c r="D33" s="14" t="s">
        <v>47</v>
      </c>
      <c r="E33" s="12"/>
      <c r="F33" s="13">
        <v>380.0</v>
      </c>
      <c r="G33" s="10"/>
    </row>
    <row r="34" ht="22.5" customHeight="1">
      <c r="A34" s="13">
        <v>31.0</v>
      </c>
      <c r="B34" s="8" t="s">
        <v>44</v>
      </c>
      <c r="C34" s="8" t="s">
        <v>57</v>
      </c>
      <c r="D34" s="14" t="s">
        <v>47</v>
      </c>
      <c r="E34" s="12"/>
      <c r="F34" s="13">
        <v>570.0</v>
      </c>
      <c r="G34" s="10"/>
    </row>
    <row r="35" ht="22.5" customHeight="1">
      <c r="A35" s="13">
        <v>32.0</v>
      </c>
      <c r="B35" s="8" t="s">
        <v>44</v>
      </c>
      <c r="C35" s="8" t="s">
        <v>58</v>
      </c>
      <c r="D35" s="14" t="s">
        <v>22</v>
      </c>
      <c r="E35" s="13">
        <v>2.0</v>
      </c>
      <c r="F35" s="12"/>
      <c r="G35" s="10"/>
    </row>
    <row r="36" ht="22.5" customHeight="1">
      <c r="A36" s="13">
        <v>33.0</v>
      </c>
      <c r="B36" s="8" t="s">
        <v>44</v>
      </c>
      <c r="C36" s="8" t="s">
        <v>59</v>
      </c>
      <c r="D36" s="14" t="s">
        <v>47</v>
      </c>
      <c r="E36" s="12"/>
      <c r="F36" s="13">
        <v>650.0</v>
      </c>
      <c r="G36" s="10"/>
    </row>
    <row r="37" ht="22.5" customHeight="1">
      <c r="A37" s="13">
        <v>34.0</v>
      </c>
      <c r="B37" s="8" t="s">
        <v>44</v>
      </c>
      <c r="C37" s="8" t="s">
        <v>60</v>
      </c>
      <c r="D37" s="14" t="s">
        <v>22</v>
      </c>
      <c r="E37" s="13">
        <v>2.0</v>
      </c>
      <c r="F37" s="12"/>
      <c r="G37" s="10"/>
    </row>
    <row r="38" ht="22.5" customHeight="1">
      <c r="A38" s="13">
        <v>35.0</v>
      </c>
      <c r="B38" s="8" t="s">
        <v>44</v>
      </c>
      <c r="C38" s="8" t="s">
        <v>61</v>
      </c>
      <c r="D38" s="14" t="s">
        <v>22</v>
      </c>
      <c r="E38" s="13">
        <v>1.0</v>
      </c>
      <c r="F38" s="13">
        <v>640.0</v>
      </c>
      <c r="G38" s="10"/>
    </row>
    <row r="39" ht="22.5" customHeight="1">
      <c r="A39" s="13">
        <v>36.0</v>
      </c>
      <c r="B39" s="8" t="s">
        <v>44</v>
      </c>
      <c r="C39" s="8" t="s">
        <v>62</v>
      </c>
      <c r="D39" s="14" t="s">
        <v>22</v>
      </c>
      <c r="E39" s="13">
        <v>1.0</v>
      </c>
      <c r="F39" s="13">
        <v>630.0</v>
      </c>
      <c r="G39" s="10"/>
    </row>
    <row r="40" ht="22.5" customHeight="1">
      <c r="A40" s="13">
        <v>37.0</v>
      </c>
      <c r="B40" s="8" t="s">
        <v>44</v>
      </c>
      <c r="C40" s="8" t="s">
        <v>63</v>
      </c>
      <c r="D40" s="14" t="s">
        <v>47</v>
      </c>
      <c r="E40" s="12"/>
      <c r="F40" s="13">
        <v>360.0</v>
      </c>
      <c r="G40" s="10"/>
    </row>
    <row r="41" ht="22.5" customHeight="1">
      <c r="A41" s="13">
        <v>38.0</v>
      </c>
      <c r="B41" s="8" t="s">
        <v>44</v>
      </c>
      <c r="C41" s="8" t="s">
        <v>64</v>
      </c>
      <c r="D41" s="14" t="s">
        <v>22</v>
      </c>
      <c r="E41" s="13">
        <v>2.0</v>
      </c>
      <c r="F41" s="13">
        <v>100.0</v>
      </c>
      <c r="G41" s="10"/>
    </row>
    <row r="42" ht="22.5" customHeight="1">
      <c r="A42" s="13">
        <v>39.0</v>
      </c>
      <c r="B42" s="8" t="s">
        <v>44</v>
      </c>
      <c r="C42" s="8" t="s">
        <v>65</v>
      </c>
      <c r="D42" s="14" t="s">
        <v>22</v>
      </c>
      <c r="E42" s="13">
        <v>1.0</v>
      </c>
      <c r="F42" s="13">
        <v>630.0</v>
      </c>
      <c r="G42" s="10"/>
    </row>
    <row r="43" ht="22.5" customHeight="1">
      <c r="A43" s="8" t="s">
        <v>66</v>
      </c>
      <c r="B43" s="8" t="s">
        <v>67</v>
      </c>
      <c r="C43" s="10"/>
      <c r="D43" s="11"/>
      <c r="E43" s="12"/>
      <c r="F43" s="12"/>
      <c r="G43" s="10"/>
    </row>
    <row r="44" ht="22.5" customHeight="1">
      <c r="A44" s="13">
        <v>40.0</v>
      </c>
      <c r="B44" s="8" t="s">
        <v>68</v>
      </c>
      <c r="C44" s="8" t="s">
        <v>69</v>
      </c>
      <c r="D44" s="14" t="s">
        <v>70</v>
      </c>
      <c r="E44" s="12"/>
      <c r="F44" s="13">
        <v>3380.0</v>
      </c>
      <c r="G44" s="8" t="s">
        <v>71</v>
      </c>
    </row>
    <row r="45" ht="22.5" customHeight="1">
      <c r="A45" s="13">
        <v>41.0</v>
      </c>
      <c r="B45" s="8" t="s">
        <v>68</v>
      </c>
      <c r="C45" s="8" t="s">
        <v>72</v>
      </c>
      <c r="D45" s="14" t="s">
        <v>70</v>
      </c>
      <c r="E45" s="12"/>
      <c r="F45" s="13">
        <v>4400.0</v>
      </c>
      <c r="G45" s="8" t="s">
        <v>73</v>
      </c>
    </row>
    <row r="46" ht="22.5" customHeight="1">
      <c r="A46" s="13">
        <v>42.0</v>
      </c>
      <c r="B46" s="8" t="s">
        <v>74</v>
      </c>
      <c r="C46" s="8" t="s">
        <v>75</v>
      </c>
      <c r="D46" s="14" t="s">
        <v>76</v>
      </c>
      <c r="E46" s="13">
        <v>31.0</v>
      </c>
      <c r="F46" s="12"/>
      <c r="G46" s="10"/>
    </row>
    <row r="47" ht="22.5" customHeight="1">
      <c r="A47" s="13">
        <v>43.0</v>
      </c>
      <c r="B47" s="8" t="s">
        <v>74</v>
      </c>
      <c r="C47" s="8" t="s">
        <v>77</v>
      </c>
      <c r="D47" s="14" t="s">
        <v>76</v>
      </c>
      <c r="E47" s="13">
        <v>25.0</v>
      </c>
      <c r="F47" s="12"/>
      <c r="G47" s="10"/>
    </row>
    <row r="48" ht="22.5" customHeight="1">
      <c r="A48" s="13">
        <v>44.0</v>
      </c>
      <c r="B48" s="8" t="s">
        <v>74</v>
      </c>
      <c r="C48" s="8" t="s">
        <v>78</v>
      </c>
      <c r="D48" s="14" t="s">
        <v>76</v>
      </c>
      <c r="E48" s="13">
        <v>30.0</v>
      </c>
      <c r="F48" s="12"/>
      <c r="G48" s="10"/>
    </row>
    <row r="49" ht="22.5" customHeight="1">
      <c r="A49" s="13">
        <v>45.0</v>
      </c>
      <c r="B49" s="8" t="s">
        <v>74</v>
      </c>
      <c r="C49" s="8" t="s">
        <v>79</v>
      </c>
      <c r="D49" s="14" t="s">
        <v>76</v>
      </c>
      <c r="E49" s="13">
        <v>20.0</v>
      </c>
      <c r="F49" s="12"/>
      <c r="G49" s="10"/>
    </row>
    <row r="50" ht="22.5" customHeight="1">
      <c r="A50" s="13">
        <v>46.0</v>
      </c>
      <c r="B50" s="8" t="s">
        <v>74</v>
      </c>
      <c r="C50" s="8" t="s">
        <v>80</v>
      </c>
      <c r="D50" s="14" t="s">
        <v>76</v>
      </c>
      <c r="E50" s="13">
        <v>38.0</v>
      </c>
      <c r="F50" s="12"/>
      <c r="G50" s="10"/>
    </row>
    <row r="51" ht="22.5" customHeight="1">
      <c r="A51" s="13">
        <v>47.0</v>
      </c>
      <c r="B51" s="8" t="s">
        <v>74</v>
      </c>
      <c r="C51" s="8" t="s">
        <v>81</v>
      </c>
      <c r="D51" s="14" t="s">
        <v>76</v>
      </c>
      <c r="E51" s="13">
        <v>21.0</v>
      </c>
      <c r="F51" s="12"/>
      <c r="G51" s="10"/>
    </row>
    <row r="52" ht="22.5" customHeight="1">
      <c r="A52" s="13">
        <v>48.0</v>
      </c>
      <c r="B52" s="8" t="s">
        <v>82</v>
      </c>
      <c r="C52" s="8" t="s">
        <v>83</v>
      </c>
      <c r="D52" s="14" t="s">
        <v>70</v>
      </c>
      <c r="E52" s="12"/>
      <c r="F52" s="13">
        <v>900.0</v>
      </c>
      <c r="G52" s="10"/>
    </row>
    <row r="53" ht="22.5" customHeight="1">
      <c r="A53" s="13">
        <v>49.0</v>
      </c>
      <c r="B53" s="8" t="s">
        <v>82</v>
      </c>
      <c r="C53" s="8" t="s">
        <v>84</v>
      </c>
      <c r="D53" s="14" t="s">
        <v>70</v>
      </c>
      <c r="E53" s="12"/>
      <c r="F53" s="13">
        <v>800.0</v>
      </c>
      <c r="G53" s="10"/>
    </row>
    <row r="54" ht="22.5" customHeight="1">
      <c r="A54" s="13">
        <v>50.0</v>
      </c>
      <c r="B54" s="8" t="s">
        <v>82</v>
      </c>
      <c r="C54" s="8" t="s">
        <v>85</v>
      </c>
      <c r="D54" s="14" t="s">
        <v>86</v>
      </c>
      <c r="E54" s="13">
        <v>1.0</v>
      </c>
      <c r="F54" s="12"/>
      <c r="G54" s="10"/>
    </row>
    <row r="55" ht="22.5" customHeight="1">
      <c r="A55" s="8" t="s">
        <v>87</v>
      </c>
      <c r="B55" s="9" t="s">
        <v>88</v>
      </c>
      <c r="C55" s="10"/>
      <c r="D55" s="11"/>
      <c r="E55" s="12"/>
      <c r="F55" s="12"/>
      <c r="G55" s="10"/>
    </row>
    <row r="56" ht="22.5" customHeight="1">
      <c r="A56" s="13">
        <v>51.0</v>
      </c>
      <c r="B56" s="8" t="s">
        <v>89</v>
      </c>
      <c r="C56" s="8" t="s">
        <v>90</v>
      </c>
      <c r="D56" s="14" t="s">
        <v>70</v>
      </c>
      <c r="E56" s="12"/>
      <c r="F56" s="13">
        <v>500.0</v>
      </c>
      <c r="G56" s="10"/>
    </row>
    <row r="57" ht="22.5" customHeight="1">
      <c r="A57" s="13">
        <v>52.0</v>
      </c>
      <c r="B57" s="8" t="s">
        <v>91</v>
      </c>
      <c r="C57" s="8" t="s">
        <v>92</v>
      </c>
      <c r="D57" s="14" t="s">
        <v>86</v>
      </c>
      <c r="E57" s="13">
        <v>0.0</v>
      </c>
      <c r="F57" s="12"/>
      <c r="G57" s="10"/>
    </row>
    <row r="58" ht="22.5" customHeight="1">
      <c r="A58" s="13">
        <v>53.0</v>
      </c>
      <c r="B58" s="8" t="s">
        <v>91</v>
      </c>
      <c r="C58" s="8" t="s">
        <v>93</v>
      </c>
      <c r="D58" s="14" t="s">
        <v>86</v>
      </c>
      <c r="E58" s="13">
        <v>1.0</v>
      </c>
      <c r="F58" s="12"/>
      <c r="G58" s="10"/>
    </row>
    <row r="59" ht="22.5" customHeight="1">
      <c r="A59" s="13">
        <v>54.0</v>
      </c>
      <c r="B59" s="8" t="s">
        <v>94</v>
      </c>
      <c r="C59" s="8" t="s">
        <v>95</v>
      </c>
      <c r="D59" s="14" t="s">
        <v>96</v>
      </c>
      <c r="E59" s="13">
        <v>7.0</v>
      </c>
      <c r="F59" s="12"/>
      <c r="G59" s="10"/>
    </row>
    <row r="60" ht="22.5" customHeight="1">
      <c r="A60" s="13">
        <v>55.0</v>
      </c>
      <c r="B60" s="8" t="s">
        <v>94</v>
      </c>
      <c r="C60" s="8" t="s">
        <v>97</v>
      </c>
      <c r="D60" s="14" t="s">
        <v>22</v>
      </c>
      <c r="E60" s="13">
        <v>4.0</v>
      </c>
      <c r="F60" s="12"/>
      <c r="G60" s="10"/>
    </row>
    <row r="61" ht="22.5" customHeight="1">
      <c r="A61" s="13">
        <v>56.0</v>
      </c>
      <c r="B61" s="8" t="s">
        <v>94</v>
      </c>
      <c r="C61" s="8" t="s">
        <v>98</v>
      </c>
      <c r="D61" s="14" t="s">
        <v>22</v>
      </c>
      <c r="E61" s="13">
        <v>11.0</v>
      </c>
      <c r="F61" s="12"/>
      <c r="G61" s="10"/>
    </row>
    <row r="62" ht="22.5" customHeight="1">
      <c r="A62" s="13">
        <v>57.0</v>
      </c>
      <c r="B62" s="8" t="s">
        <v>94</v>
      </c>
      <c r="C62" s="8" t="s">
        <v>99</v>
      </c>
      <c r="D62" s="14" t="s">
        <v>22</v>
      </c>
      <c r="E62" s="13">
        <v>14.0</v>
      </c>
      <c r="F62" s="12"/>
      <c r="G62" s="10"/>
    </row>
    <row r="63" ht="22.5" customHeight="1">
      <c r="A63" s="13">
        <v>58.0</v>
      </c>
      <c r="B63" s="8" t="s">
        <v>94</v>
      </c>
      <c r="C63" s="8" t="s">
        <v>100</v>
      </c>
      <c r="D63" s="14" t="s">
        <v>22</v>
      </c>
      <c r="E63" s="13">
        <v>6.0</v>
      </c>
      <c r="F63" s="12"/>
      <c r="G63" s="10"/>
    </row>
    <row r="64" ht="22.5" customHeight="1">
      <c r="A64" s="13">
        <v>59.0</v>
      </c>
      <c r="B64" s="8" t="s">
        <v>94</v>
      </c>
      <c r="C64" s="8" t="s">
        <v>101</v>
      </c>
      <c r="D64" s="14" t="s">
        <v>22</v>
      </c>
      <c r="E64" s="13">
        <v>4.0</v>
      </c>
      <c r="F64" s="12"/>
      <c r="G64" s="10"/>
    </row>
    <row r="65" ht="22.5" customHeight="1">
      <c r="A65" s="13">
        <v>60.0</v>
      </c>
      <c r="B65" s="8" t="s">
        <v>102</v>
      </c>
      <c r="C65" s="8" t="s">
        <v>103</v>
      </c>
      <c r="D65" s="14" t="s">
        <v>104</v>
      </c>
      <c r="E65" s="13">
        <v>10.0</v>
      </c>
      <c r="F65" s="12"/>
      <c r="G65" s="10"/>
    </row>
    <row r="66" ht="22.5" customHeight="1">
      <c r="A66" s="13">
        <v>61.0</v>
      </c>
      <c r="B66" s="8" t="s">
        <v>102</v>
      </c>
      <c r="C66" s="8" t="s">
        <v>105</v>
      </c>
      <c r="D66" s="14" t="s">
        <v>104</v>
      </c>
      <c r="E66" s="13">
        <v>10.0</v>
      </c>
      <c r="F66" s="12"/>
      <c r="G66" s="10"/>
    </row>
    <row r="67" ht="22.5" customHeight="1">
      <c r="A67" s="13">
        <v>62.0</v>
      </c>
      <c r="B67" s="8" t="s">
        <v>102</v>
      </c>
      <c r="C67" s="8" t="s">
        <v>106</v>
      </c>
      <c r="D67" s="14" t="s">
        <v>104</v>
      </c>
      <c r="E67" s="13">
        <v>3.0</v>
      </c>
      <c r="F67" s="12"/>
      <c r="G67" s="10"/>
    </row>
    <row r="68" ht="22.5" customHeight="1">
      <c r="A68" s="13">
        <v>63.0</v>
      </c>
      <c r="B68" s="8" t="s">
        <v>107</v>
      </c>
      <c r="C68" s="8" t="s">
        <v>108</v>
      </c>
      <c r="D68" s="14" t="s">
        <v>109</v>
      </c>
      <c r="E68" s="13">
        <v>88.0</v>
      </c>
      <c r="F68" s="12"/>
      <c r="G68" s="10"/>
    </row>
    <row r="69" ht="22.5" customHeight="1">
      <c r="A69" s="8" t="s">
        <v>110</v>
      </c>
      <c r="B69" s="9" t="s">
        <v>111</v>
      </c>
      <c r="C69" s="10"/>
      <c r="D69" s="11"/>
      <c r="E69" s="12"/>
      <c r="F69" s="12"/>
      <c r="G69" s="10"/>
    </row>
    <row r="70" ht="22.5" customHeight="1">
      <c r="A70" s="13">
        <v>64.0</v>
      </c>
      <c r="B70" s="8" t="s">
        <v>112</v>
      </c>
      <c r="C70" s="8" t="s">
        <v>113</v>
      </c>
      <c r="D70" s="14" t="s">
        <v>76</v>
      </c>
      <c r="E70" s="13">
        <v>1.0</v>
      </c>
      <c r="F70" s="12"/>
      <c r="G70" s="10"/>
    </row>
    <row r="71" ht="22.5" customHeight="1">
      <c r="A71" s="13">
        <v>65.0</v>
      </c>
      <c r="B71" s="8" t="s">
        <v>112</v>
      </c>
      <c r="C71" s="8" t="s">
        <v>114</v>
      </c>
      <c r="D71" s="14" t="s">
        <v>76</v>
      </c>
      <c r="E71" s="13">
        <v>1.0</v>
      </c>
      <c r="F71" s="12"/>
      <c r="G71" s="10"/>
    </row>
    <row r="72" ht="22.5" customHeight="1">
      <c r="A72" s="13">
        <v>66.0</v>
      </c>
      <c r="B72" s="8" t="s">
        <v>112</v>
      </c>
      <c r="C72" s="8" t="s">
        <v>115</v>
      </c>
      <c r="D72" s="14" t="s">
        <v>76</v>
      </c>
      <c r="E72" s="13">
        <v>4.0</v>
      </c>
      <c r="F72" s="12"/>
      <c r="G72" s="10"/>
    </row>
    <row r="73" ht="22.5" customHeight="1">
      <c r="A73" s="13">
        <v>67.0</v>
      </c>
      <c r="B73" s="8" t="s">
        <v>116</v>
      </c>
      <c r="C73" s="8" t="s">
        <v>117</v>
      </c>
      <c r="D73" s="14" t="s">
        <v>86</v>
      </c>
      <c r="E73" s="12"/>
      <c r="F73" s="13">
        <v>380.0</v>
      </c>
      <c r="G73" s="10"/>
    </row>
    <row r="74" ht="22.5" customHeight="1">
      <c r="A74" s="13">
        <v>68.0</v>
      </c>
      <c r="B74" s="8" t="s">
        <v>116</v>
      </c>
      <c r="C74" s="8" t="s">
        <v>118</v>
      </c>
      <c r="D74" s="14" t="s">
        <v>86</v>
      </c>
      <c r="E74" s="13">
        <v>5.0</v>
      </c>
      <c r="F74" s="12"/>
      <c r="G74" s="10"/>
    </row>
    <row r="75" ht="22.5" customHeight="1">
      <c r="A75" s="13">
        <v>69.0</v>
      </c>
      <c r="B75" s="8" t="s">
        <v>116</v>
      </c>
      <c r="C75" s="8" t="s">
        <v>119</v>
      </c>
      <c r="D75" s="14" t="s">
        <v>86</v>
      </c>
      <c r="E75" s="13">
        <v>4.0</v>
      </c>
      <c r="F75" s="12"/>
      <c r="G75" s="10"/>
    </row>
    <row r="76" ht="22.5" customHeight="1">
      <c r="A76" s="8" t="s">
        <v>120</v>
      </c>
      <c r="B76" s="9" t="s">
        <v>121</v>
      </c>
      <c r="C76" s="10"/>
      <c r="D76" s="11"/>
      <c r="E76" s="12"/>
      <c r="F76" s="12"/>
      <c r="G76" s="10"/>
    </row>
    <row r="77" ht="22.5" customHeight="1">
      <c r="A77" s="13">
        <v>70.0</v>
      </c>
      <c r="B77" s="8" t="s">
        <v>122</v>
      </c>
      <c r="C77" s="8" t="s">
        <v>123</v>
      </c>
      <c r="D77" s="14" t="s">
        <v>86</v>
      </c>
      <c r="E77" s="13">
        <v>3.1</v>
      </c>
      <c r="F77" s="12"/>
      <c r="G77" s="10"/>
    </row>
    <row r="78" ht="22.5" customHeight="1">
      <c r="A78" s="13">
        <v>71.0</v>
      </c>
      <c r="B78" s="8" t="s">
        <v>122</v>
      </c>
      <c r="C78" s="8" t="s">
        <v>124</v>
      </c>
      <c r="D78" s="14" t="s">
        <v>109</v>
      </c>
      <c r="E78" s="13">
        <v>29.0</v>
      </c>
      <c r="F78" s="12"/>
      <c r="G78" s="10"/>
    </row>
    <row r="79" ht="22.5" customHeight="1">
      <c r="A79" s="13">
        <v>72.0</v>
      </c>
      <c r="B79" s="8" t="s">
        <v>122</v>
      </c>
      <c r="C79" s="8" t="s">
        <v>125</v>
      </c>
      <c r="D79" s="14" t="s">
        <v>86</v>
      </c>
      <c r="E79" s="12"/>
      <c r="F79" s="13">
        <v>150.0</v>
      </c>
      <c r="G79" s="10"/>
    </row>
    <row r="80" ht="22.5" customHeight="1">
      <c r="A80" s="13">
        <v>73.0</v>
      </c>
      <c r="B80" s="8" t="s">
        <v>122</v>
      </c>
      <c r="C80" s="8" t="s">
        <v>126</v>
      </c>
      <c r="D80" s="14" t="s">
        <v>86</v>
      </c>
      <c r="E80" s="13">
        <v>4.0</v>
      </c>
      <c r="F80" s="12"/>
      <c r="G80" s="10"/>
    </row>
    <row r="81" ht="22.5" customHeight="1">
      <c r="A81" s="13">
        <v>74.0</v>
      </c>
      <c r="B81" s="8" t="s">
        <v>122</v>
      </c>
      <c r="C81" s="8" t="s">
        <v>127</v>
      </c>
      <c r="D81" s="14" t="s">
        <v>86</v>
      </c>
      <c r="E81" s="13">
        <v>0.0</v>
      </c>
      <c r="F81" s="12"/>
      <c r="G81" s="10"/>
    </row>
    <row r="82" ht="22.5" customHeight="1">
      <c r="A82" s="13">
        <v>75.0</v>
      </c>
      <c r="B82" s="8" t="s">
        <v>122</v>
      </c>
      <c r="C82" s="8" t="s">
        <v>128</v>
      </c>
      <c r="D82" s="14" t="s">
        <v>86</v>
      </c>
      <c r="E82" s="13">
        <v>2.0</v>
      </c>
      <c r="F82" s="12"/>
      <c r="G82" s="10"/>
    </row>
    <row r="83" ht="22.5" customHeight="1">
      <c r="A83" s="13">
        <v>76.0</v>
      </c>
      <c r="B83" s="8" t="s">
        <v>122</v>
      </c>
      <c r="C83" s="8" t="s">
        <v>129</v>
      </c>
      <c r="D83" s="14" t="s">
        <v>86</v>
      </c>
      <c r="E83" s="13">
        <v>1.4</v>
      </c>
      <c r="F83" s="12"/>
      <c r="G83" s="10"/>
    </row>
    <row r="84" ht="22.5" customHeight="1">
      <c r="A84" s="13">
        <v>77.0</v>
      </c>
      <c r="B84" s="8" t="s">
        <v>122</v>
      </c>
      <c r="C84" s="8" t="s">
        <v>130</v>
      </c>
      <c r="D84" s="14" t="s">
        <v>109</v>
      </c>
      <c r="E84" s="13">
        <v>36.0</v>
      </c>
      <c r="F84" s="12"/>
      <c r="G84" s="10"/>
    </row>
    <row r="85" ht="22.5" customHeight="1">
      <c r="A85" s="13">
        <v>78.0</v>
      </c>
      <c r="B85" s="8" t="s">
        <v>122</v>
      </c>
      <c r="C85" s="8" t="s">
        <v>131</v>
      </c>
      <c r="D85" s="14" t="s">
        <v>86</v>
      </c>
      <c r="E85" s="13">
        <v>3.8</v>
      </c>
      <c r="F85" s="12"/>
      <c r="G85" s="10"/>
    </row>
    <row r="86" ht="22.5" customHeight="1">
      <c r="A86" s="13">
        <v>79.0</v>
      </c>
      <c r="B86" s="8" t="s">
        <v>122</v>
      </c>
      <c r="C86" s="8" t="s">
        <v>132</v>
      </c>
      <c r="D86" s="14" t="s">
        <v>86</v>
      </c>
      <c r="E86" s="13">
        <v>1.9</v>
      </c>
      <c r="F86" s="12"/>
      <c r="G86" s="10"/>
    </row>
  </sheetData>
  <dataValidations>
    <dataValidation type="list" allowBlank="1" showDropDown="1" showErrorMessage="1" sqref="D2:D86">
      <formula1>"Lon/Chai,Chai,Chai/Lon,ml,g,Cái,kg,Đơn vị,Hộp,Quả"</formula1>
    </dataValidation>
    <dataValidation type="custom" allowBlank="1" showDropDown="1" sqref="A2:A86 E2:F8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13"/>
    <col hidden="1" min="16" max="16" width="12.63"/>
    <col customWidth="1" min="18" max="18" width="14.5"/>
    <col customWidth="1" min="19" max="19" width="18.25"/>
    <col hidden="1" min="43" max="43" width="12.63"/>
    <col hidden="1" min="55" max="55" width="12.63"/>
    <col hidden="1" min="69" max="69" width="12.63"/>
    <col hidden="1" min="76" max="76" width="12.63"/>
  </cols>
  <sheetData>
    <row r="1">
      <c r="A1" s="15" t="s">
        <v>133</v>
      </c>
      <c r="B1" s="15" t="s">
        <v>16</v>
      </c>
      <c r="C1" s="15" t="s">
        <v>18</v>
      </c>
      <c r="D1" s="15" t="s">
        <v>19</v>
      </c>
      <c r="E1" s="15" t="s">
        <v>20</v>
      </c>
      <c r="F1" s="15" t="s">
        <v>0</v>
      </c>
      <c r="G1" s="15" t="s">
        <v>24</v>
      </c>
      <c r="H1" s="15" t="s">
        <v>26</v>
      </c>
      <c r="I1" s="15" t="s">
        <v>27</v>
      </c>
      <c r="J1" s="15" t="s">
        <v>28</v>
      </c>
      <c r="K1" s="15" t="s">
        <v>30</v>
      </c>
      <c r="L1" s="15" t="s">
        <v>31</v>
      </c>
      <c r="M1" s="15" t="s">
        <v>33</v>
      </c>
      <c r="N1" s="15" t="s">
        <v>34</v>
      </c>
      <c r="O1" s="15" t="s">
        <v>38</v>
      </c>
      <c r="P1" s="15" t="s">
        <v>40</v>
      </c>
      <c r="Q1" s="15" t="s">
        <v>41</v>
      </c>
      <c r="R1" s="15" t="s">
        <v>42</v>
      </c>
      <c r="S1" s="15" t="s">
        <v>43</v>
      </c>
      <c r="T1" s="15" t="s">
        <v>45</v>
      </c>
      <c r="U1" s="15" t="s">
        <v>46</v>
      </c>
      <c r="V1" s="15" t="s">
        <v>48</v>
      </c>
      <c r="W1" s="15" t="s">
        <v>49</v>
      </c>
      <c r="X1" s="15" t="s">
        <v>50</v>
      </c>
      <c r="Y1" s="15" t="s">
        <v>51</v>
      </c>
      <c r="Z1" s="15" t="s">
        <v>52</v>
      </c>
      <c r="AA1" s="15" t="s">
        <v>53</v>
      </c>
      <c r="AB1" s="15" t="s">
        <v>54</v>
      </c>
      <c r="AC1" s="15" t="s">
        <v>55</v>
      </c>
      <c r="AD1" s="15" t="s">
        <v>56</v>
      </c>
      <c r="AE1" s="15" t="s">
        <v>57</v>
      </c>
      <c r="AF1" s="15" t="s">
        <v>58</v>
      </c>
      <c r="AG1" s="15" t="s">
        <v>59</v>
      </c>
      <c r="AH1" s="15" t="s">
        <v>60</v>
      </c>
      <c r="AI1" s="15" t="s">
        <v>61</v>
      </c>
      <c r="AJ1" s="15" t="s">
        <v>62</v>
      </c>
      <c r="AK1" s="15" t="s">
        <v>63</v>
      </c>
      <c r="AL1" s="15" t="s">
        <v>64</v>
      </c>
      <c r="AM1" s="15" t="s">
        <v>65</v>
      </c>
      <c r="AN1" s="15" t="s">
        <v>69</v>
      </c>
      <c r="AO1" s="15" t="s">
        <v>72</v>
      </c>
      <c r="AP1" s="15" t="s">
        <v>77</v>
      </c>
      <c r="AQ1" s="15" t="s">
        <v>78</v>
      </c>
      <c r="AR1" s="15" t="s">
        <v>79</v>
      </c>
      <c r="AS1" s="15" t="s">
        <v>80</v>
      </c>
      <c r="AT1" s="15" t="s">
        <v>81</v>
      </c>
      <c r="AU1" s="15" t="s">
        <v>83</v>
      </c>
      <c r="AV1" s="15" t="s">
        <v>84</v>
      </c>
      <c r="AW1" s="15" t="s">
        <v>85</v>
      </c>
      <c r="AX1" s="15" t="s">
        <v>90</v>
      </c>
      <c r="AY1" s="15" t="s">
        <v>92</v>
      </c>
      <c r="AZ1" s="15" t="s">
        <v>93</v>
      </c>
      <c r="BA1" s="15" t="s">
        <v>97</v>
      </c>
      <c r="BB1" s="15" t="s">
        <v>98</v>
      </c>
      <c r="BC1" s="15" t="s">
        <v>99</v>
      </c>
      <c r="BD1" s="15" t="s">
        <v>100</v>
      </c>
      <c r="BE1" s="15" t="s">
        <v>101</v>
      </c>
      <c r="BF1" s="15" t="s">
        <v>103</v>
      </c>
      <c r="BG1" s="15" t="s">
        <v>105</v>
      </c>
      <c r="BH1" s="15" t="s">
        <v>106</v>
      </c>
      <c r="BI1" s="15" t="s">
        <v>108</v>
      </c>
      <c r="BJ1" s="15" t="s">
        <v>113</v>
      </c>
      <c r="BK1" s="15" t="s">
        <v>114</v>
      </c>
      <c r="BL1" s="15" t="s">
        <v>115</v>
      </c>
      <c r="BM1" s="15" t="s">
        <v>117</v>
      </c>
      <c r="BN1" s="15" t="s">
        <v>119</v>
      </c>
      <c r="BO1" s="15" t="s">
        <v>123</v>
      </c>
      <c r="BP1" s="15" t="s">
        <v>124</v>
      </c>
      <c r="BQ1" s="15" t="s">
        <v>125</v>
      </c>
      <c r="BR1" s="15" t="s">
        <v>126</v>
      </c>
      <c r="BS1" s="15" t="s">
        <v>127</v>
      </c>
      <c r="BT1" s="15" t="s">
        <v>129</v>
      </c>
      <c r="BU1" s="15" t="s">
        <v>130</v>
      </c>
      <c r="BV1" s="15" t="s">
        <v>131</v>
      </c>
      <c r="BW1" s="15" t="s">
        <v>132</v>
      </c>
      <c r="BX1" s="16" t="s">
        <v>128</v>
      </c>
      <c r="BY1" s="16" t="s">
        <v>129</v>
      </c>
      <c r="BZ1" s="16" t="s">
        <v>130</v>
      </c>
      <c r="CA1" s="16" t="s">
        <v>131</v>
      </c>
      <c r="CB1" s="16" t="s">
        <v>132</v>
      </c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</row>
    <row r="2">
      <c r="A2" s="18">
        <v>46173.0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7"/>
      <c r="CO2" s="17"/>
      <c r="CP2" s="17"/>
      <c r="CQ2" s="17"/>
      <c r="CR2" s="17"/>
    </row>
    <row r="3">
      <c r="A3" s="20" t="s">
        <v>134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17"/>
      <c r="CO3" s="17"/>
      <c r="CP3" s="17"/>
      <c r="CQ3" s="17"/>
      <c r="CR3" s="17"/>
    </row>
    <row r="4">
      <c r="A4" s="22" t="s">
        <v>135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17"/>
      <c r="CO4" s="17"/>
      <c r="CP4" s="17"/>
      <c r="CQ4" s="17"/>
      <c r="CR4" s="17"/>
    </row>
    <row r="5">
      <c r="A5" s="24" t="s">
        <v>136</v>
      </c>
      <c r="B5" s="24">
        <v>52.0</v>
      </c>
      <c r="C5" s="24">
        <v>17.0</v>
      </c>
      <c r="D5" s="24">
        <v>29.0</v>
      </c>
      <c r="E5" s="24">
        <v>53.0</v>
      </c>
      <c r="F5" s="24">
        <v>23.0</v>
      </c>
      <c r="G5" s="24">
        <v>27.0</v>
      </c>
      <c r="H5" s="24">
        <v>24.0</v>
      </c>
      <c r="I5" s="24">
        <v>38.0</v>
      </c>
      <c r="J5" s="24">
        <v>52.0</v>
      </c>
      <c r="K5" s="24">
        <v>38.0</v>
      </c>
      <c r="L5" s="24">
        <v>34.0</v>
      </c>
      <c r="M5" s="24">
        <v>30.0</v>
      </c>
      <c r="N5" s="24">
        <v>36.0</v>
      </c>
      <c r="O5" s="24" t="s">
        <v>137</v>
      </c>
      <c r="P5" s="24">
        <v>0.0</v>
      </c>
      <c r="Q5" s="24" t="s">
        <v>138</v>
      </c>
      <c r="R5" s="24" t="s">
        <v>139</v>
      </c>
      <c r="S5" s="24">
        <v>3.0</v>
      </c>
      <c r="T5" s="24" t="s">
        <v>140</v>
      </c>
      <c r="U5" s="24">
        <v>620.0</v>
      </c>
      <c r="V5" s="24" t="s">
        <v>141</v>
      </c>
      <c r="W5" s="24">
        <v>965.0</v>
      </c>
      <c r="X5" s="24">
        <v>670.0</v>
      </c>
      <c r="Y5" s="24">
        <v>370.0</v>
      </c>
      <c r="Z5" s="24" t="s">
        <v>142</v>
      </c>
      <c r="AA5" s="24" t="s">
        <v>143</v>
      </c>
      <c r="AB5" s="24">
        <v>620.0</v>
      </c>
      <c r="AC5" s="24">
        <v>210.0</v>
      </c>
      <c r="AD5" s="24">
        <v>380.0</v>
      </c>
      <c r="AE5" s="24">
        <v>570.0</v>
      </c>
      <c r="AF5" s="24">
        <v>2.0</v>
      </c>
      <c r="AG5" s="24">
        <v>650.0</v>
      </c>
      <c r="AH5" s="24">
        <v>2.0</v>
      </c>
      <c r="AI5" s="24" t="s">
        <v>144</v>
      </c>
      <c r="AJ5" s="24" t="s">
        <v>145</v>
      </c>
      <c r="AK5" s="24">
        <v>360.0</v>
      </c>
      <c r="AL5" s="24" t="s">
        <v>146</v>
      </c>
      <c r="AM5" s="24" t="s">
        <v>145</v>
      </c>
      <c r="AN5" s="24">
        <v>3380.0</v>
      </c>
      <c r="AO5" s="24">
        <v>4400.0</v>
      </c>
      <c r="AP5" s="24">
        <v>25.0</v>
      </c>
      <c r="AQ5" s="24">
        <v>30.0</v>
      </c>
      <c r="AR5" s="24">
        <v>20.0</v>
      </c>
      <c r="AS5" s="24">
        <v>38.0</v>
      </c>
      <c r="AT5" s="24">
        <v>21.0</v>
      </c>
      <c r="AU5" s="24">
        <v>900.0</v>
      </c>
      <c r="AV5" s="24">
        <v>800.0</v>
      </c>
      <c r="AW5" s="24">
        <v>1.0</v>
      </c>
      <c r="AX5" s="24">
        <v>500.0</v>
      </c>
      <c r="AY5" s="24">
        <v>0.0</v>
      </c>
      <c r="AZ5" s="24">
        <v>1.0</v>
      </c>
      <c r="BA5" s="24">
        <v>4.0</v>
      </c>
      <c r="BB5" s="24">
        <v>11.0</v>
      </c>
      <c r="BC5" s="24">
        <v>14.0</v>
      </c>
      <c r="BD5" s="24">
        <v>6.0</v>
      </c>
      <c r="BE5" s="24">
        <v>4.0</v>
      </c>
      <c r="BF5" s="24">
        <v>10.0</v>
      </c>
      <c r="BG5" s="24">
        <v>10.0</v>
      </c>
      <c r="BH5" s="24">
        <v>3.0</v>
      </c>
      <c r="BI5" s="24">
        <v>88.0</v>
      </c>
      <c r="BJ5" s="24">
        <v>1.0</v>
      </c>
      <c r="BK5" s="24">
        <v>1.0</v>
      </c>
      <c r="BL5" s="24">
        <v>4.0</v>
      </c>
      <c r="BM5" s="24">
        <v>0.38</v>
      </c>
      <c r="BN5" s="24">
        <v>4.0</v>
      </c>
      <c r="BO5" s="24">
        <v>3.1</v>
      </c>
      <c r="BP5" s="24">
        <v>29.0</v>
      </c>
      <c r="BQ5" s="24">
        <v>0.15</v>
      </c>
      <c r="BR5" s="24">
        <v>4.0</v>
      </c>
      <c r="BS5" s="24">
        <v>0.0</v>
      </c>
      <c r="BT5" s="24">
        <v>1.4</v>
      </c>
      <c r="BU5" s="24">
        <v>36.0</v>
      </c>
      <c r="BV5" s="24">
        <v>3.8</v>
      </c>
      <c r="BW5" s="24">
        <v>1.9</v>
      </c>
      <c r="BX5" s="25">
        <v>2.0</v>
      </c>
      <c r="BY5" s="25">
        <v>1.4</v>
      </c>
      <c r="BZ5" s="25">
        <v>36.0</v>
      </c>
      <c r="CA5" s="25">
        <v>3.8</v>
      </c>
      <c r="CB5" s="25">
        <v>1.9</v>
      </c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17"/>
      <c r="CO5" s="17"/>
      <c r="CP5" s="17"/>
      <c r="CQ5" s="17"/>
      <c r="CR5" s="17"/>
    </row>
    <row r="6">
      <c r="A6" s="26">
        <v>46174.0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6"/>
      <c r="R6" s="17"/>
      <c r="S6" s="17"/>
      <c r="T6" s="16"/>
      <c r="U6" s="16"/>
      <c r="V6" s="17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7"/>
      <c r="AJ6" s="16"/>
      <c r="AK6" s="17"/>
      <c r="AL6" s="16"/>
      <c r="AM6" s="16"/>
      <c r="AN6" s="16"/>
      <c r="AO6" s="16"/>
      <c r="AP6" s="16"/>
      <c r="AQ6" s="17"/>
      <c r="AR6" s="16"/>
      <c r="AS6" s="16"/>
      <c r="AT6" s="17"/>
      <c r="AU6" s="17"/>
      <c r="AV6" s="17"/>
      <c r="AW6" s="17"/>
      <c r="AX6" s="17"/>
      <c r="AY6" s="17"/>
      <c r="AZ6" s="16"/>
      <c r="BA6" s="16"/>
      <c r="BB6" s="17"/>
      <c r="BC6" s="17"/>
      <c r="BD6" s="16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27"/>
      <c r="CF6" s="27"/>
      <c r="CG6" s="27"/>
      <c r="CH6" s="27"/>
      <c r="CI6" s="17"/>
      <c r="CJ6" s="17"/>
      <c r="CK6" s="17"/>
      <c r="CL6" s="17"/>
      <c r="CM6" s="17"/>
      <c r="CN6" s="17"/>
      <c r="CO6" s="17"/>
      <c r="CP6" s="17"/>
      <c r="CQ6" s="17"/>
      <c r="CR6" s="17"/>
    </row>
    <row r="7">
      <c r="A7" s="20" t="s">
        <v>134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0">
        <v>0.1</v>
      </c>
      <c r="BR7" s="21"/>
      <c r="BS7" s="21"/>
      <c r="BT7" s="21"/>
      <c r="BU7" s="21"/>
      <c r="BV7" s="21"/>
      <c r="BW7" s="21"/>
      <c r="BX7" s="21">
        <v>0.1</v>
      </c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17"/>
      <c r="CJ7" s="17"/>
      <c r="CK7" s="17"/>
      <c r="CL7" s="17"/>
      <c r="CM7" s="17"/>
      <c r="CN7" s="17"/>
      <c r="CO7" s="17"/>
      <c r="CP7" s="17"/>
      <c r="CQ7" s="17"/>
      <c r="CR7" s="17"/>
    </row>
    <row r="8">
      <c r="A8" s="28" t="s">
        <v>135</v>
      </c>
      <c r="B8" s="22">
        <v>2.0</v>
      </c>
      <c r="C8" s="23"/>
      <c r="D8" s="23"/>
      <c r="E8" s="23"/>
      <c r="F8" s="22">
        <v>4.0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2">
        <v>2.0</v>
      </c>
      <c r="BH8" s="23"/>
      <c r="BI8" s="22">
        <v>30.0</v>
      </c>
      <c r="BJ8" s="23"/>
      <c r="BK8" s="23"/>
      <c r="BL8" s="23"/>
      <c r="BM8" s="23"/>
      <c r="BN8" s="23"/>
      <c r="BO8" s="22">
        <v>0.25</v>
      </c>
      <c r="BP8" s="22">
        <v>10.0</v>
      </c>
      <c r="BQ8" s="23"/>
      <c r="BR8" s="23"/>
      <c r="BS8" s="23"/>
      <c r="BT8" s="22">
        <v>0.04</v>
      </c>
      <c r="BU8" s="22">
        <v>10.0</v>
      </c>
      <c r="BV8" s="22">
        <v>0.35</v>
      </c>
      <c r="BW8" s="22">
        <v>0.3</v>
      </c>
      <c r="BX8" s="23"/>
      <c r="BY8" s="23">
        <v>0.04</v>
      </c>
      <c r="BZ8" s="23">
        <v>10.0</v>
      </c>
      <c r="CA8" s="23">
        <v>0.35</v>
      </c>
      <c r="CB8" s="23">
        <v>0.3</v>
      </c>
      <c r="CC8" s="23"/>
      <c r="CD8" s="23"/>
      <c r="CE8" s="23"/>
      <c r="CF8" s="23"/>
      <c r="CG8" s="23"/>
      <c r="CH8" s="23"/>
      <c r="CI8" s="17"/>
      <c r="CJ8" s="17"/>
      <c r="CK8" s="17"/>
      <c r="CL8" s="17"/>
      <c r="CM8" s="17"/>
      <c r="CN8" s="17"/>
      <c r="CO8" s="17"/>
      <c r="CP8" s="17"/>
      <c r="CQ8" s="17"/>
      <c r="CR8" s="17"/>
    </row>
    <row r="9">
      <c r="A9" s="24" t="s">
        <v>136</v>
      </c>
      <c r="B9" s="24">
        <v>50.0</v>
      </c>
      <c r="C9" s="24">
        <v>17.0</v>
      </c>
      <c r="D9" s="24">
        <v>29.0</v>
      </c>
      <c r="E9" s="24">
        <v>53.0</v>
      </c>
      <c r="F9" s="24">
        <v>19.0</v>
      </c>
      <c r="G9" s="24">
        <v>27.0</v>
      </c>
      <c r="H9" s="24">
        <v>24.0</v>
      </c>
      <c r="I9" s="24">
        <v>38.0</v>
      </c>
      <c r="J9" s="24">
        <v>52.0</v>
      </c>
      <c r="K9" s="24">
        <v>38.0</v>
      </c>
      <c r="L9" s="24">
        <v>34.0</v>
      </c>
      <c r="M9" s="24">
        <v>30.0</v>
      </c>
      <c r="N9" s="24">
        <v>36.0</v>
      </c>
      <c r="O9" s="24" t="s">
        <v>137</v>
      </c>
      <c r="P9" s="24">
        <v>0.0</v>
      </c>
      <c r="Q9" s="24" t="s">
        <v>138</v>
      </c>
      <c r="R9" s="24" t="s">
        <v>139</v>
      </c>
      <c r="S9" s="24">
        <v>3.0</v>
      </c>
      <c r="T9" s="24" t="s">
        <v>140</v>
      </c>
      <c r="U9" s="24">
        <v>620.0</v>
      </c>
      <c r="V9" s="24" t="s">
        <v>141</v>
      </c>
      <c r="W9" s="24">
        <v>965.0</v>
      </c>
      <c r="X9" s="24">
        <v>670.0</v>
      </c>
      <c r="Y9" s="24">
        <v>370.0</v>
      </c>
      <c r="Z9" s="24" t="s">
        <v>142</v>
      </c>
      <c r="AA9" s="24" t="s">
        <v>143</v>
      </c>
      <c r="AB9" s="24">
        <v>620.0</v>
      </c>
      <c r="AC9" s="24">
        <v>210.0</v>
      </c>
      <c r="AD9" s="24">
        <v>380.0</v>
      </c>
      <c r="AE9" s="24">
        <v>570.0</v>
      </c>
      <c r="AF9" s="24">
        <v>2.0</v>
      </c>
      <c r="AG9" s="24">
        <v>650.0</v>
      </c>
      <c r="AH9" s="24">
        <v>2.0</v>
      </c>
      <c r="AI9" s="24" t="s">
        <v>144</v>
      </c>
      <c r="AJ9" s="24" t="s">
        <v>145</v>
      </c>
      <c r="AK9" s="24">
        <v>360.0</v>
      </c>
      <c r="AL9" s="24" t="s">
        <v>146</v>
      </c>
      <c r="AM9" s="24" t="s">
        <v>145</v>
      </c>
      <c r="AN9" s="24">
        <v>3380.0</v>
      </c>
      <c r="AO9" s="24">
        <v>4400.0</v>
      </c>
      <c r="AP9" s="24">
        <v>25.0</v>
      </c>
      <c r="AQ9" s="24">
        <v>30.0</v>
      </c>
      <c r="AR9" s="24">
        <v>20.0</v>
      </c>
      <c r="AS9" s="24">
        <v>38.0</v>
      </c>
      <c r="AT9" s="24">
        <v>21.0</v>
      </c>
      <c r="AU9" s="24">
        <v>900.0</v>
      </c>
      <c r="AV9" s="24">
        <v>800.0</v>
      </c>
      <c r="AW9" s="24">
        <v>1.0</v>
      </c>
      <c r="AX9" s="24">
        <v>500.0</v>
      </c>
      <c r="AY9" s="24">
        <v>0.0</v>
      </c>
      <c r="AZ9" s="24">
        <v>1.0</v>
      </c>
      <c r="BA9" s="24">
        <v>4.0</v>
      </c>
      <c r="BB9" s="24">
        <v>11.0</v>
      </c>
      <c r="BC9" s="24">
        <v>14.0</v>
      </c>
      <c r="BD9" s="24">
        <v>6.0</v>
      </c>
      <c r="BE9" s="24">
        <v>4.0</v>
      </c>
      <c r="BF9" s="24">
        <v>10.0</v>
      </c>
      <c r="BG9" s="24">
        <v>8.0</v>
      </c>
      <c r="BH9" s="24">
        <v>3.0</v>
      </c>
      <c r="BI9" s="24">
        <v>58.0</v>
      </c>
      <c r="BJ9" s="24">
        <v>1.0</v>
      </c>
      <c r="BK9" s="24">
        <v>1.0</v>
      </c>
      <c r="BL9" s="24">
        <v>4.0</v>
      </c>
      <c r="BM9" s="24">
        <v>0.38</v>
      </c>
      <c r="BN9" s="24">
        <v>4.0</v>
      </c>
      <c r="BO9" s="24">
        <v>2.85</v>
      </c>
      <c r="BP9" s="24">
        <v>19.0</v>
      </c>
      <c r="BQ9" s="29">
        <v>46386.0</v>
      </c>
      <c r="BR9" s="24">
        <v>4.0</v>
      </c>
      <c r="BS9" s="24">
        <v>0.0</v>
      </c>
      <c r="BT9" s="24">
        <v>1.36</v>
      </c>
      <c r="BU9" s="24">
        <v>26.0</v>
      </c>
      <c r="BV9" s="24">
        <v>3.45</v>
      </c>
      <c r="BW9" s="24">
        <v>1.6</v>
      </c>
      <c r="BX9" s="30">
        <v>2.1</v>
      </c>
      <c r="BY9" s="30">
        <v>1.36</v>
      </c>
      <c r="BZ9" s="30">
        <v>26.0</v>
      </c>
      <c r="CA9" s="30">
        <v>3.45</v>
      </c>
      <c r="CB9" s="30">
        <v>1.6</v>
      </c>
      <c r="CC9" s="30"/>
      <c r="CD9" s="25"/>
      <c r="CE9" s="31"/>
      <c r="CF9" s="31"/>
      <c r="CG9" s="31"/>
      <c r="CH9" s="31"/>
      <c r="CI9" s="32"/>
      <c r="CJ9" s="32"/>
      <c r="CK9" s="32"/>
      <c r="CL9" s="32"/>
      <c r="CM9" s="32"/>
      <c r="CN9" s="32"/>
      <c r="CO9" s="32"/>
      <c r="CP9" s="32"/>
      <c r="CQ9" s="32"/>
      <c r="CR9" s="32"/>
    </row>
    <row r="10">
      <c r="A10" s="26">
        <v>46175.0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6"/>
      <c r="R10" s="17"/>
      <c r="S10" s="17"/>
      <c r="T10" s="16"/>
      <c r="U10" s="16"/>
      <c r="V10" s="17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7"/>
      <c r="AJ10" s="16"/>
      <c r="AK10" s="17"/>
      <c r="AL10" s="16"/>
      <c r="AM10" s="16"/>
      <c r="AN10" s="16"/>
      <c r="AO10" s="16"/>
      <c r="AP10" s="16"/>
      <c r="AQ10" s="17"/>
      <c r="AR10" s="16"/>
      <c r="AS10" s="16"/>
      <c r="AT10" s="17"/>
      <c r="AU10" s="17"/>
      <c r="AV10" s="17"/>
      <c r="AW10" s="17"/>
      <c r="AX10" s="17"/>
      <c r="AY10" s="17"/>
      <c r="AZ10" s="16"/>
      <c r="BA10" s="16"/>
      <c r="BB10" s="17"/>
      <c r="BC10" s="17"/>
      <c r="BD10" s="16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27"/>
      <c r="CF10" s="27"/>
      <c r="CG10" s="27"/>
      <c r="CH10" s="27"/>
      <c r="CI10" s="17"/>
      <c r="CJ10" s="17"/>
      <c r="CK10" s="17"/>
      <c r="CL10" s="17"/>
      <c r="CM10" s="17"/>
      <c r="CN10" s="17"/>
      <c r="CO10" s="17"/>
      <c r="CP10" s="17"/>
      <c r="CQ10" s="17"/>
      <c r="CR10" s="17"/>
    </row>
    <row r="11">
      <c r="A11" s="20" t="s">
        <v>134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33"/>
      <c r="AY11" s="33"/>
      <c r="AZ11" s="21"/>
      <c r="BA11" s="21"/>
      <c r="BB11" s="21"/>
      <c r="BC11" s="21"/>
      <c r="BD11" s="21"/>
      <c r="BE11" s="33"/>
      <c r="BF11" s="21"/>
      <c r="BG11" s="21"/>
      <c r="BH11" s="21"/>
      <c r="BI11" s="21"/>
      <c r="BJ11" s="21"/>
      <c r="BK11" s="21"/>
      <c r="BL11" s="21"/>
      <c r="BM11" s="21"/>
      <c r="BN11" s="21"/>
      <c r="BO11" s="20">
        <v>1.65</v>
      </c>
      <c r="BP11" s="21"/>
      <c r="BQ11" s="21"/>
      <c r="BR11" s="21"/>
      <c r="BS11" s="21"/>
      <c r="BT11" s="21"/>
      <c r="BU11" s="21"/>
      <c r="BV11" s="20">
        <v>2.05</v>
      </c>
      <c r="BW11" s="21"/>
      <c r="BX11" s="21"/>
      <c r="BY11" s="21"/>
      <c r="BZ11" s="21"/>
      <c r="CA11" s="21">
        <v>2.05</v>
      </c>
      <c r="CB11" s="21"/>
      <c r="CC11" s="21"/>
      <c r="CD11" s="21"/>
      <c r="CE11" s="21"/>
      <c r="CF11" s="21"/>
      <c r="CG11" s="21"/>
      <c r="CH11" s="21"/>
      <c r="CI11" s="17"/>
      <c r="CJ11" s="17"/>
      <c r="CK11" s="17"/>
      <c r="CL11" s="17"/>
      <c r="CM11" s="17"/>
      <c r="CN11" s="17"/>
      <c r="CO11" s="17"/>
      <c r="CP11" s="17"/>
      <c r="CQ11" s="17"/>
      <c r="CR11" s="17"/>
    </row>
    <row r="12">
      <c r="A12" s="28" t="s">
        <v>135</v>
      </c>
      <c r="B12" s="22">
        <v>1.0</v>
      </c>
      <c r="C12" s="34"/>
      <c r="D12" s="23"/>
      <c r="E12" s="22">
        <v>1.0</v>
      </c>
      <c r="F12" s="22">
        <v>4.0</v>
      </c>
      <c r="G12" s="34"/>
      <c r="H12" s="23"/>
      <c r="I12" s="22">
        <v>6.0</v>
      </c>
      <c r="J12" s="22">
        <v>4.0</v>
      </c>
      <c r="K12" s="22">
        <v>2.0</v>
      </c>
      <c r="L12" s="34"/>
      <c r="M12" s="23"/>
      <c r="N12" s="34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2">
        <v>1.0</v>
      </c>
      <c r="BH12" s="23"/>
      <c r="BI12" s="22">
        <v>58.0</v>
      </c>
      <c r="BJ12" s="23"/>
      <c r="BK12" s="23"/>
      <c r="BL12" s="23"/>
      <c r="BM12" s="23"/>
      <c r="BN12" s="23"/>
      <c r="BO12" s="23"/>
      <c r="BP12" s="22">
        <v>10.0</v>
      </c>
      <c r="BQ12" s="23"/>
      <c r="BR12" s="23"/>
      <c r="BS12" s="23"/>
      <c r="BT12" s="22">
        <v>0.11</v>
      </c>
      <c r="BU12" s="22">
        <v>16.0</v>
      </c>
      <c r="BV12" s="23"/>
      <c r="BW12" s="23"/>
      <c r="BX12" s="34">
        <v>0.1</v>
      </c>
      <c r="BY12" s="23">
        <v>0.11</v>
      </c>
      <c r="BZ12" s="34">
        <v>16.0</v>
      </c>
      <c r="CA12" s="23"/>
      <c r="CB12" s="23"/>
      <c r="CC12" s="23"/>
      <c r="CD12" s="23"/>
      <c r="CE12" s="23"/>
      <c r="CF12" s="35"/>
      <c r="CG12" s="35"/>
      <c r="CH12" s="23"/>
      <c r="CI12" s="17"/>
      <c r="CJ12" s="17"/>
      <c r="CK12" s="15">
        <v>0.1</v>
      </c>
      <c r="CL12" s="15">
        <v>0.11</v>
      </c>
      <c r="CM12" s="15">
        <v>16.0</v>
      </c>
      <c r="CN12" s="17"/>
      <c r="CO12" s="17"/>
      <c r="CP12" s="17"/>
      <c r="CQ12" s="17"/>
      <c r="CR12" s="17"/>
    </row>
    <row r="13">
      <c r="A13" s="24" t="s">
        <v>136</v>
      </c>
      <c r="B13" s="24">
        <v>49.0</v>
      </c>
      <c r="C13" s="24">
        <v>17.0</v>
      </c>
      <c r="D13" s="24">
        <v>29.0</v>
      </c>
      <c r="E13" s="24">
        <v>52.0</v>
      </c>
      <c r="F13" s="24">
        <v>15.0</v>
      </c>
      <c r="G13" s="24">
        <v>27.0</v>
      </c>
      <c r="H13" s="24">
        <v>24.0</v>
      </c>
      <c r="I13" s="24">
        <v>32.0</v>
      </c>
      <c r="J13" s="24">
        <v>48.0</v>
      </c>
      <c r="K13" s="24">
        <v>36.0</v>
      </c>
      <c r="L13" s="24">
        <v>34.0</v>
      </c>
      <c r="M13" s="24">
        <v>30.0</v>
      </c>
      <c r="N13" s="24">
        <v>36.0</v>
      </c>
      <c r="O13" s="24" t="s">
        <v>137</v>
      </c>
      <c r="P13" s="24">
        <v>0.0</v>
      </c>
      <c r="Q13" s="24" t="s">
        <v>138</v>
      </c>
      <c r="R13" s="24" t="s">
        <v>139</v>
      </c>
      <c r="S13" s="24">
        <v>3.0</v>
      </c>
      <c r="T13" s="24" t="s">
        <v>140</v>
      </c>
      <c r="U13" s="24">
        <v>620.0</v>
      </c>
      <c r="V13" s="24" t="s">
        <v>141</v>
      </c>
      <c r="W13" s="24">
        <v>965.0</v>
      </c>
      <c r="X13" s="24">
        <v>670.0</v>
      </c>
      <c r="Y13" s="24">
        <v>370.0</v>
      </c>
      <c r="Z13" s="24" t="s">
        <v>142</v>
      </c>
      <c r="AA13" s="24" t="s">
        <v>143</v>
      </c>
      <c r="AB13" s="24">
        <v>620.0</v>
      </c>
      <c r="AC13" s="24">
        <v>210.0</v>
      </c>
      <c r="AD13" s="24">
        <v>380.0</v>
      </c>
      <c r="AE13" s="24">
        <v>570.0</v>
      </c>
      <c r="AF13" s="24">
        <v>2.0</v>
      </c>
      <c r="AG13" s="24">
        <v>650.0</v>
      </c>
      <c r="AH13" s="24">
        <v>2.0</v>
      </c>
      <c r="AI13" s="24" t="s">
        <v>144</v>
      </c>
      <c r="AJ13" s="24" t="s">
        <v>145</v>
      </c>
      <c r="AK13" s="24">
        <v>360.0</v>
      </c>
      <c r="AL13" s="24" t="s">
        <v>146</v>
      </c>
      <c r="AM13" s="24" t="s">
        <v>145</v>
      </c>
      <c r="AN13" s="24">
        <v>3380.0</v>
      </c>
      <c r="AO13" s="24">
        <v>4400.0</v>
      </c>
      <c r="AP13" s="24">
        <v>25.0</v>
      </c>
      <c r="AQ13" s="24">
        <v>30.0</v>
      </c>
      <c r="AR13" s="24">
        <v>20.0</v>
      </c>
      <c r="AS13" s="24">
        <v>38.0</v>
      </c>
      <c r="AT13" s="24">
        <v>21.0</v>
      </c>
      <c r="AU13" s="24">
        <v>900.0</v>
      </c>
      <c r="AV13" s="24">
        <v>800.0</v>
      </c>
      <c r="AW13" s="24">
        <v>1.0</v>
      </c>
      <c r="AX13" s="24">
        <v>500.0</v>
      </c>
      <c r="AY13" s="24">
        <v>0.0</v>
      </c>
      <c r="AZ13" s="24">
        <v>1.0</v>
      </c>
      <c r="BA13" s="24">
        <v>4.0</v>
      </c>
      <c r="BB13" s="24">
        <v>11.0</v>
      </c>
      <c r="BC13" s="24">
        <v>14.0</v>
      </c>
      <c r="BD13" s="24">
        <v>6.0</v>
      </c>
      <c r="BE13" s="24">
        <v>4.0</v>
      </c>
      <c r="BF13" s="24">
        <v>10.0</v>
      </c>
      <c r="BG13" s="24">
        <v>7.0</v>
      </c>
      <c r="BH13" s="24">
        <v>3.0</v>
      </c>
      <c r="BI13" s="24">
        <v>0.0</v>
      </c>
      <c r="BJ13" s="24">
        <v>1.0</v>
      </c>
      <c r="BK13" s="24">
        <v>1.0</v>
      </c>
      <c r="BL13" s="24">
        <v>4.0</v>
      </c>
      <c r="BM13" s="24">
        <v>0.38</v>
      </c>
      <c r="BN13" s="24">
        <v>4.0</v>
      </c>
      <c r="BO13" s="24">
        <v>4.5</v>
      </c>
      <c r="BP13" s="24">
        <v>9.0</v>
      </c>
      <c r="BQ13" s="29">
        <v>46386.0</v>
      </c>
      <c r="BR13" s="24">
        <v>4.0</v>
      </c>
      <c r="BS13" s="24">
        <v>0.0</v>
      </c>
      <c r="BT13" s="24">
        <v>1.25</v>
      </c>
      <c r="BU13" s="24">
        <v>10.0</v>
      </c>
      <c r="BV13" s="24">
        <v>5.5</v>
      </c>
      <c r="BW13" s="24">
        <v>1.6</v>
      </c>
      <c r="BX13" s="30">
        <v>2.0</v>
      </c>
      <c r="BY13" s="30">
        <v>1.25</v>
      </c>
      <c r="BZ13" s="30">
        <v>10.0</v>
      </c>
      <c r="CA13" s="30">
        <v>5.5</v>
      </c>
      <c r="CB13" s="30">
        <v>1.6</v>
      </c>
      <c r="CC13" s="25"/>
      <c r="CD13" s="30"/>
      <c r="CE13" s="31"/>
      <c r="CF13" s="31"/>
      <c r="CG13" s="31"/>
      <c r="CH13" s="31"/>
      <c r="CI13" s="32"/>
      <c r="CJ13" s="32"/>
      <c r="CK13" s="32"/>
      <c r="CL13" s="32"/>
      <c r="CM13" s="32"/>
      <c r="CN13" s="32"/>
      <c r="CO13" s="32"/>
      <c r="CP13" s="32"/>
      <c r="CQ13" s="32"/>
      <c r="CR13" s="32"/>
    </row>
    <row r="14">
      <c r="A14" s="26">
        <v>46176.0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6"/>
      <c r="R14" s="17"/>
      <c r="S14" s="17"/>
      <c r="T14" s="16"/>
      <c r="U14" s="16"/>
      <c r="V14" s="17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7"/>
      <c r="AJ14" s="16"/>
      <c r="AK14" s="17"/>
      <c r="AL14" s="16"/>
      <c r="AM14" s="16"/>
      <c r="AN14" s="16"/>
      <c r="AO14" s="16"/>
      <c r="AP14" s="16"/>
      <c r="AQ14" s="17"/>
      <c r="AR14" s="16"/>
      <c r="AS14" s="16"/>
      <c r="AT14" s="17"/>
      <c r="AU14" s="17"/>
      <c r="AV14" s="17"/>
      <c r="AW14" s="17"/>
      <c r="AX14" s="17"/>
      <c r="AY14" s="17"/>
      <c r="AZ14" s="16"/>
      <c r="BA14" s="16"/>
      <c r="BB14" s="17"/>
      <c r="BC14" s="17"/>
      <c r="BD14" s="16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</row>
    <row r="15">
      <c r="A15" s="20" t="s">
        <v>134</v>
      </c>
      <c r="B15" s="21"/>
      <c r="C15" s="20">
        <v>48.0</v>
      </c>
      <c r="D15" s="21"/>
      <c r="E15" s="21"/>
      <c r="F15" s="20">
        <v>48.0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33"/>
      <c r="AY15" s="33"/>
      <c r="AZ15" s="21"/>
      <c r="BA15" s="21"/>
      <c r="BB15" s="21"/>
      <c r="BC15" s="21"/>
      <c r="BD15" s="21"/>
      <c r="BE15" s="33"/>
      <c r="BF15" s="21"/>
      <c r="BG15" s="21"/>
      <c r="BH15" s="21"/>
      <c r="BI15" s="20">
        <v>84.0</v>
      </c>
      <c r="BJ15" s="20">
        <v>5.0</v>
      </c>
      <c r="BK15" s="21"/>
      <c r="BL15" s="20">
        <v>5.0</v>
      </c>
      <c r="BM15" s="21"/>
      <c r="BN15" s="21"/>
      <c r="BO15" s="21"/>
      <c r="BP15" s="21"/>
      <c r="BQ15" s="21"/>
      <c r="BR15" s="21"/>
      <c r="BS15" s="21"/>
      <c r="BT15" s="20">
        <v>0.15</v>
      </c>
      <c r="BU15" s="21"/>
      <c r="BV15" s="20">
        <v>3.9</v>
      </c>
      <c r="BW15" s="21"/>
      <c r="BX15" s="21"/>
      <c r="BY15" s="21">
        <v>0.15</v>
      </c>
      <c r="BZ15" s="21"/>
      <c r="CA15" s="21">
        <v>3.9</v>
      </c>
      <c r="CB15" s="21"/>
    </row>
    <row r="16">
      <c r="A16" s="28" t="s">
        <v>135</v>
      </c>
      <c r="B16" s="22">
        <v>1.0</v>
      </c>
      <c r="C16" s="22">
        <v>3.0</v>
      </c>
      <c r="D16" s="23"/>
      <c r="E16" s="34"/>
      <c r="F16" s="34"/>
      <c r="G16" s="34"/>
      <c r="H16" s="23"/>
      <c r="I16" s="34"/>
      <c r="J16" s="34"/>
      <c r="K16" s="34"/>
      <c r="L16" s="34"/>
      <c r="M16" s="23"/>
      <c r="N16" s="34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2">
        <v>1.0</v>
      </c>
      <c r="BC16" s="23"/>
      <c r="BD16" s="23"/>
      <c r="BE16" s="23"/>
      <c r="BF16" s="23"/>
      <c r="BG16" s="23"/>
      <c r="BH16" s="23"/>
      <c r="BI16" s="23"/>
      <c r="BJ16" s="23"/>
      <c r="BK16" s="22">
        <v>1.0</v>
      </c>
      <c r="BL16" s="23"/>
      <c r="BM16" s="23"/>
      <c r="BN16" s="23"/>
      <c r="BO16" s="22">
        <v>0.6</v>
      </c>
      <c r="BP16" s="23"/>
      <c r="BQ16" s="23"/>
      <c r="BR16" s="23"/>
      <c r="BS16" s="23"/>
      <c r="BT16" s="23"/>
      <c r="BU16" s="22">
        <v>1.0</v>
      </c>
      <c r="BV16" s="23"/>
      <c r="BW16" s="22">
        <v>0.3</v>
      </c>
      <c r="BX16" s="34">
        <v>0.1</v>
      </c>
      <c r="BY16" s="23"/>
      <c r="BZ16" s="34">
        <v>1.0</v>
      </c>
      <c r="CA16" s="23"/>
      <c r="CB16" s="23">
        <v>0.3</v>
      </c>
    </row>
    <row r="17">
      <c r="A17" s="24" t="s">
        <v>136</v>
      </c>
      <c r="B17" s="24">
        <v>48.0</v>
      </c>
      <c r="C17" s="24">
        <v>62.0</v>
      </c>
      <c r="D17" s="24">
        <v>29.0</v>
      </c>
      <c r="E17" s="24">
        <v>52.0</v>
      </c>
      <c r="F17" s="24">
        <v>63.0</v>
      </c>
      <c r="G17" s="24">
        <v>27.0</v>
      </c>
      <c r="H17" s="24">
        <v>24.0</v>
      </c>
      <c r="I17" s="24">
        <v>32.0</v>
      </c>
      <c r="J17" s="24">
        <v>48.0</v>
      </c>
      <c r="K17" s="24">
        <v>36.0</v>
      </c>
      <c r="L17" s="24">
        <v>34.0</v>
      </c>
      <c r="M17" s="24">
        <v>30.0</v>
      </c>
      <c r="N17" s="24">
        <v>36.0</v>
      </c>
      <c r="O17" s="24" t="s">
        <v>137</v>
      </c>
      <c r="P17" s="24">
        <v>0.0</v>
      </c>
      <c r="Q17" s="24" t="s">
        <v>138</v>
      </c>
      <c r="R17" s="24" t="s">
        <v>139</v>
      </c>
      <c r="S17" s="24">
        <v>3.0</v>
      </c>
      <c r="T17" s="24" t="s">
        <v>140</v>
      </c>
      <c r="U17" s="24">
        <v>620.0</v>
      </c>
      <c r="V17" s="24" t="s">
        <v>141</v>
      </c>
      <c r="W17" s="24">
        <v>965.0</v>
      </c>
      <c r="X17" s="24">
        <v>670.0</v>
      </c>
      <c r="Y17" s="24">
        <v>370.0</v>
      </c>
      <c r="Z17" s="24" t="s">
        <v>142</v>
      </c>
      <c r="AA17" s="24" t="s">
        <v>143</v>
      </c>
      <c r="AB17" s="24">
        <v>620.0</v>
      </c>
      <c r="AC17" s="24">
        <v>210.0</v>
      </c>
      <c r="AD17" s="24">
        <v>380.0</v>
      </c>
      <c r="AE17" s="24">
        <v>570.0</v>
      </c>
      <c r="AF17" s="24">
        <v>2.0</v>
      </c>
      <c r="AG17" s="24">
        <v>650.0</v>
      </c>
      <c r="AH17" s="24">
        <v>2.0</v>
      </c>
      <c r="AI17" s="24" t="s">
        <v>144</v>
      </c>
      <c r="AJ17" s="24" t="s">
        <v>145</v>
      </c>
      <c r="AK17" s="24">
        <v>360.0</v>
      </c>
      <c r="AL17" s="24" t="s">
        <v>146</v>
      </c>
      <c r="AM17" s="24" t="s">
        <v>145</v>
      </c>
      <c r="AN17" s="24">
        <v>3380.0</v>
      </c>
      <c r="AO17" s="24">
        <v>4400.0</v>
      </c>
      <c r="AP17" s="24">
        <v>25.0</v>
      </c>
      <c r="AQ17" s="24">
        <v>30.0</v>
      </c>
      <c r="AR17" s="24">
        <v>20.0</v>
      </c>
      <c r="AS17" s="24">
        <v>38.0</v>
      </c>
      <c r="AT17" s="24">
        <v>21.0</v>
      </c>
      <c r="AU17" s="24">
        <v>900.0</v>
      </c>
      <c r="AV17" s="24">
        <v>800.0</v>
      </c>
      <c r="AW17" s="24">
        <v>1.0</v>
      </c>
      <c r="AX17" s="24">
        <v>500.0</v>
      </c>
      <c r="AY17" s="24">
        <v>0.0</v>
      </c>
      <c r="AZ17" s="24">
        <v>1.0</v>
      </c>
      <c r="BA17" s="24">
        <v>4.0</v>
      </c>
      <c r="BB17" s="24">
        <v>10.0</v>
      </c>
      <c r="BC17" s="24">
        <v>14.0</v>
      </c>
      <c r="BD17" s="24">
        <v>6.0</v>
      </c>
      <c r="BE17" s="24">
        <v>4.0</v>
      </c>
      <c r="BF17" s="24">
        <v>10.0</v>
      </c>
      <c r="BG17" s="24">
        <v>7.0</v>
      </c>
      <c r="BH17" s="24">
        <v>3.0</v>
      </c>
      <c r="BI17" s="24">
        <v>84.0</v>
      </c>
      <c r="BJ17" s="24">
        <v>6.0</v>
      </c>
      <c r="BK17" s="24">
        <v>0.0</v>
      </c>
      <c r="BL17" s="24">
        <v>9.0</v>
      </c>
      <c r="BM17" s="24">
        <v>0.38</v>
      </c>
      <c r="BN17" s="24">
        <v>4.0</v>
      </c>
      <c r="BO17" s="24">
        <v>3.9</v>
      </c>
      <c r="BP17" s="24">
        <v>9.0</v>
      </c>
      <c r="BQ17" s="29">
        <v>46386.0</v>
      </c>
      <c r="BR17" s="24">
        <v>4.0</v>
      </c>
      <c r="BS17" s="24">
        <v>0.0</v>
      </c>
      <c r="BT17" s="24">
        <v>1.4</v>
      </c>
      <c r="BU17" s="24">
        <v>9.0</v>
      </c>
      <c r="BV17" s="24">
        <v>9.4</v>
      </c>
      <c r="BW17" s="24">
        <v>1.3</v>
      </c>
      <c r="BX17" s="30">
        <v>1.9</v>
      </c>
      <c r="BY17" s="30">
        <v>1.4</v>
      </c>
      <c r="BZ17" s="30">
        <v>9.0</v>
      </c>
      <c r="CA17" s="30">
        <v>9.4</v>
      </c>
      <c r="CB17" s="30">
        <v>1.3</v>
      </c>
    </row>
    <row r="18">
      <c r="A18" s="26">
        <v>46177.0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6"/>
      <c r="R18" s="17"/>
      <c r="S18" s="17"/>
      <c r="T18" s="16"/>
      <c r="U18" s="16"/>
      <c r="V18" s="17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7"/>
      <c r="AJ18" s="16"/>
      <c r="AK18" s="17"/>
      <c r="AL18" s="16"/>
      <c r="AM18" s="16"/>
      <c r="AN18" s="16"/>
      <c r="AO18" s="16"/>
      <c r="AP18" s="16"/>
      <c r="AQ18" s="17"/>
      <c r="AR18" s="16"/>
      <c r="AS18" s="16"/>
      <c r="AT18" s="17"/>
      <c r="AU18" s="17"/>
      <c r="AV18" s="17"/>
      <c r="AW18" s="17"/>
      <c r="AX18" s="17"/>
      <c r="AY18" s="17"/>
      <c r="AZ18" s="16"/>
      <c r="BA18" s="16"/>
      <c r="BB18" s="17"/>
      <c r="BC18" s="17"/>
      <c r="BD18" s="16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</row>
    <row r="19">
      <c r="A19" s="20" t="s">
        <v>134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33"/>
      <c r="AY19" s="33"/>
      <c r="AZ19" s="21"/>
      <c r="BA19" s="21"/>
      <c r="BB19" s="21"/>
      <c r="BC19" s="21"/>
      <c r="BD19" s="21"/>
      <c r="BE19" s="33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</row>
    <row r="20">
      <c r="A20" s="28" t="s">
        <v>135</v>
      </c>
      <c r="B20" s="34"/>
      <c r="C20" s="22">
        <v>1.0</v>
      </c>
      <c r="D20" s="22">
        <v>1.0</v>
      </c>
      <c r="E20" s="22">
        <v>3.0</v>
      </c>
      <c r="F20" s="34"/>
      <c r="G20" s="34"/>
      <c r="H20" s="23"/>
      <c r="I20" s="22">
        <v>1.0</v>
      </c>
      <c r="J20" s="22">
        <v>4.0</v>
      </c>
      <c r="K20" s="22">
        <v>1.0</v>
      </c>
      <c r="L20" s="34"/>
      <c r="M20" s="23"/>
      <c r="N20" s="34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2">
        <v>1.0</v>
      </c>
      <c r="AV20" s="22">
        <v>1.0</v>
      </c>
      <c r="AW20" s="23"/>
      <c r="AX20" s="22">
        <v>49.0</v>
      </c>
      <c r="AY20" s="22">
        <v>5.0</v>
      </c>
      <c r="AZ20" s="23"/>
      <c r="BA20" s="22">
        <v>5.0</v>
      </c>
      <c r="BB20" s="23"/>
      <c r="BC20" s="23"/>
      <c r="BD20" s="22">
        <v>1.1</v>
      </c>
      <c r="BE20" s="22">
        <v>8.25</v>
      </c>
      <c r="BF20" s="23"/>
      <c r="BG20" s="22">
        <v>2.1</v>
      </c>
      <c r="BH20" s="23"/>
      <c r="BI20" s="22">
        <v>1.15</v>
      </c>
      <c r="BJ20" s="22">
        <v>7.0</v>
      </c>
      <c r="BK20" s="22">
        <v>4.2</v>
      </c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34"/>
      <c r="BY20" s="23"/>
      <c r="BZ20" s="34"/>
      <c r="CA20" s="23"/>
      <c r="CB20" s="23"/>
    </row>
    <row r="21">
      <c r="A21" s="24" t="s">
        <v>136</v>
      </c>
      <c r="B21" s="24">
        <v>48.0</v>
      </c>
      <c r="C21" s="24">
        <v>61.0</v>
      </c>
      <c r="D21" s="24">
        <v>28.0</v>
      </c>
      <c r="E21" s="24">
        <v>49.0</v>
      </c>
      <c r="F21" s="24">
        <v>63.0</v>
      </c>
      <c r="G21" s="24">
        <v>27.0</v>
      </c>
      <c r="H21" s="24">
        <v>24.0</v>
      </c>
      <c r="I21" s="24">
        <v>31.0</v>
      </c>
      <c r="J21" s="24">
        <v>44.0</v>
      </c>
      <c r="K21" s="24">
        <v>35.0</v>
      </c>
      <c r="L21" s="24">
        <v>34.0</v>
      </c>
      <c r="M21" s="24">
        <v>30.0</v>
      </c>
      <c r="N21" s="24">
        <v>36.0</v>
      </c>
      <c r="O21" s="24" t="s">
        <v>137</v>
      </c>
      <c r="P21" s="24">
        <v>0.0</v>
      </c>
      <c r="Q21" s="24" t="s">
        <v>138</v>
      </c>
      <c r="R21" s="24" t="s">
        <v>139</v>
      </c>
      <c r="S21" s="24">
        <v>3.0</v>
      </c>
      <c r="T21" s="24" t="s">
        <v>140</v>
      </c>
      <c r="U21" s="24">
        <v>620.0</v>
      </c>
      <c r="V21" s="24" t="s">
        <v>141</v>
      </c>
      <c r="W21" s="24">
        <v>965.0</v>
      </c>
      <c r="X21" s="24">
        <v>670.0</v>
      </c>
      <c r="Y21" s="24">
        <v>370.0</v>
      </c>
      <c r="Z21" s="24" t="s">
        <v>142</v>
      </c>
      <c r="AA21" s="24" t="s">
        <v>143</v>
      </c>
      <c r="AB21" s="24">
        <v>620.0</v>
      </c>
      <c r="AC21" s="24">
        <v>210.0</v>
      </c>
      <c r="AD21" s="24">
        <v>380.0</v>
      </c>
      <c r="AE21" s="24">
        <v>570.0</v>
      </c>
      <c r="AF21" s="24">
        <v>2.0</v>
      </c>
      <c r="AG21" s="24">
        <v>650.0</v>
      </c>
      <c r="AH21" s="24">
        <v>2.0</v>
      </c>
      <c r="AI21" s="24" t="s">
        <v>144</v>
      </c>
      <c r="AJ21" s="24" t="s">
        <v>145</v>
      </c>
      <c r="AK21" s="24">
        <v>360.0</v>
      </c>
      <c r="AL21" s="24" t="s">
        <v>146</v>
      </c>
      <c r="AM21" s="24" t="s">
        <v>145</v>
      </c>
      <c r="AN21" s="24">
        <v>3380.0</v>
      </c>
      <c r="AO21" s="24">
        <v>4400.0</v>
      </c>
      <c r="AP21" s="24">
        <v>25.0</v>
      </c>
      <c r="AQ21" s="24">
        <v>30.0</v>
      </c>
      <c r="AR21" s="24">
        <v>20.0</v>
      </c>
      <c r="AS21" s="24">
        <v>38.0</v>
      </c>
      <c r="AT21" s="24">
        <v>21.0</v>
      </c>
      <c r="AU21" s="24">
        <v>900.0</v>
      </c>
      <c r="AV21" s="24">
        <v>800.0</v>
      </c>
      <c r="AW21" s="24">
        <v>1.0</v>
      </c>
      <c r="AX21" s="24">
        <v>500.0</v>
      </c>
      <c r="AY21" s="24">
        <v>0.0</v>
      </c>
      <c r="AZ21" s="24">
        <v>1.0</v>
      </c>
      <c r="BA21" s="24">
        <v>4.0</v>
      </c>
      <c r="BB21" s="24">
        <v>10.0</v>
      </c>
      <c r="BC21" s="24">
        <v>14.0</v>
      </c>
      <c r="BD21" s="24">
        <v>6.0</v>
      </c>
      <c r="BE21" s="24">
        <v>4.0</v>
      </c>
      <c r="BF21" s="24">
        <v>9.0</v>
      </c>
      <c r="BG21" s="24">
        <v>6.0</v>
      </c>
      <c r="BH21" s="24">
        <v>3.0</v>
      </c>
      <c r="BI21" s="24">
        <v>35.0</v>
      </c>
      <c r="BJ21" s="24">
        <v>1.0</v>
      </c>
      <c r="BK21" s="24">
        <v>0.0</v>
      </c>
      <c r="BL21" s="24">
        <v>4.0</v>
      </c>
      <c r="BM21" s="24">
        <v>0.38</v>
      </c>
      <c r="BN21" s="24">
        <v>4.0</v>
      </c>
      <c r="BO21" s="24">
        <v>2.8</v>
      </c>
      <c r="BP21" s="24">
        <v>0.75</v>
      </c>
      <c r="BQ21" s="24">
        <v>0.25</v>
      </c>
      <c r="BR21" s="24">
        <v>1.9</v>
      </c>
      <c r="BS21" s="24">
        <v>0.0</v>
      </c>
      <c r="BT21" s="24">
        <v>0.25</v>
      </c>
      <c r="BU21" s="24">
        <v>2.0</v>
      </c>
      <c r="BV21" s="24">
        <v>5.2</v>
      </c>
      <c r="BW21" s="24">
        <v>1.3</v>
      </c>
      <c r="BX21" s="30"/>
      <c r="BY21" s="30"/>
      <c r="BZ21" s="30"/>
      <c r="CA21" s="30"/>
      <c r="CB21" s="30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/>
      <c r="CF912" s="17"/>
      <c r="CG912" s="17"/>
      <c r="CH912" s="17"/>
      <c r="CI912" s="17"/>
      <c r="CJ912" s="17"/>
      <c r="CK912" s="17"/>
      <c r="CL912" s="17"/>
      <c r="CM912" s="17"/>
      <c r="CN912" s="17"/>
      <c r="CO912" s="17"/>
      <c r="CP912" s="17"/>
      <c r="CQ912" s="17"/>
      <c r="CR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  <c r="CR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  <c r="CR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/>
      <c r="CF915" s="17"/>
      <c r="CG915" s="17"/>
      <c r="CH915" s="17"/>
      <c r="CI915" s="17"/>
      <c r="CJ915" s="17"/>
      <c r="CK915" s="17"/>
      <c r="CL915" s="17"/>
      <c r="CM915" s="17"/>
      <c r="CN915" s="17"/>
      <c r="CO915" s="17"/>
      <c r="CP915" s="17"/>
      <c r="CQ915" s="17"/>
      <c r="CR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  <c r="CL917" s="17"/>
      <c r="CM917" s="17"/>
      <c r="CN917" s="17"/>
      <c r="CO917" s="17"/>
      <c r="CP917" s="17"/>
      <c r="CQ917" s="17"/>
      <c r="CR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  <c r="CL918" s="17"/>
      <c r="CM918" s="17"/>
      <c r="CN918" s="17"/>
      <c r="CO918" s="17"/>
      <c r="CP918" s="17"/>
      <c r="CQ918" s="17"/>
      <c r="CR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  <c r="CL919" s="17"/>
      <c r="CM919" s="17"/>
      <c r="CN919" s="17"/>
      <c r="CO919" s="17"/>
      <c r="CP919" s="17"/>
      <c r="CQ919" s="17"/>
      <c r="CR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  <c r="CL924" s="17"/>
      <c r="CM924" s="17"/>
      <c r="CN924" s="17"/>
      <c r="CO924" s="17"/>
      <c r="CP924" s="17"/>
      <c r="CQ924" s="17"/>
      <c r="CR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  <c r="CL925" s="17"/>
      <c r="CM925" s="17"/>
      <c r="CN925" s="17"/>
      <c r="CO925" s="17"/>
      <c r="CP925" s="17"/>
      <c r="CQ925" s="17"/>
      <c r="CR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  <c r="CL929" s="17"/>
      <c r="CM929" s="17"/>
      <c r="CN929" s="17"/>
      <c r="CO929" s="17"/>
      <c r="CP929" s="17"/>
      <c r="CQ929" s="17"/>
      <c r="CR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  <c r="CL930" s="17"/>
      <c r="CM930" s="17"/>
      <c r="CN930" s="17"/>
      <c r="CO930" s="17"/>
      <c r="CP930" s="17"/>
      <c r="CQ930" s="17"/>
      <c r="CR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  <c r="CR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  <c r="CL932" s="17"/>
      <c r="CM932" s="17"/>
      <c r="CN932" s="17"/>
      <c r="CO932" s="17"/>
      <c r="CP932" s="17"/>
      <c r="CQ932" s="17"/>
      <c r="CR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  <c r="CR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  <c r="CR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  <c r="CR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  <c r="CL954" s="17"/>
      <c r="CM954" s="17"/>
      <c r="CN954" s="17"/>
      <c r="CO954" s="17"/>
      <c r="CP954" s="17"/>
      <c r="CQ954" s="17"/>
      <c r="CR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</row>
  </sheetData>
  <drawing r:id="rId1"/>
</worksheet>
</file>